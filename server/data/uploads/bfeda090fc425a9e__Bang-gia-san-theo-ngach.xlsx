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et dinh don hang" sheetId="1" state="visible" r:id="rId1"/>
    <sheet xmlns:r="http://schemas.openxmlformats.org/officeDocument/2006/relationships" name="Bang gia san" sheetId="2" state="visible" r:id="rId2"/>
    <sheet xmlns:r="http://schemas.openxmlformats.org/officeDocument/2006/relationships" name="Thong 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1F4E37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666666"/>
      <sz val="9"/>
    </font>
    <font>
      <name val="Arial"/>
      <b val="1"/>
      <color rgb="001F4E37"/>
      <sz val="11"/>
    </font>
    <font>
      <name val="Arial"/>
      <b val="1"/>
      <color rgb="00FFFFFF"/>
      <sz val="10"/>
    </font>
    <font>
      <name val="Arial"/>
      <b val="1"/>
      <color rgb="001F4E37"/>
      <sz val="15"/>
    </font>
    <font>
      <name val="Arial"/>
      <color rgb="00666666"/>
      <sz val="10"/>
    </font>
    <font>
      <name val="Arial"/>
      <b val="1"/>
      <color rgb="00000000"/>
      <sz val="11"/>
    </font>
    <font>
      <name val="Arial"/>
      <b val="1"/>
      <color rgb="000000FF"/>
      <sz val="13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color rgb="00000000"/>
      <sz val="13"/>
    </font>
    <font>
      <name val="Arial"/>
      <b val="1"/>
      <color rgb="001F4E37"/>
      <sz val="12"/>
    </font>
    <font>
      <name val="Arial"/>
      <color rgb="00008000"/>
      <sz val="10"/>
    </font>
    <font>
      <name val="Arial"/>
      <b val="1"/>
      <color rgb="001F4E37"/>
      <sz val="14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37"/>
      </patternFill>
    </fill>
    <fill>
      <patternFill patternType="solid">
        <fgColor rgb="00D9E8D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2" fillId="3" borderId="0" pivotButton="0" quotePrefix="0" xfId="0"/>
    <xf numFmtId="0" fontId="2" fillId="0" borderId="1" pivotButton="0" quotePrefix="0" xfId="0"/>
    <xf numFmtId="164" fontId="1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1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9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7" fillId="0" borderId="0" pivotButton="0" quotePrefix="0" xfId="0"/>
    <xf numFmtId="2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8" fillId="0" borderId="0" pivotButton="0" quotePrefix="0" xfId="0"/>
    <xf numFmtId="2" fontId="1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1" pivotButton="0" quotePrefix="0" xfId="0"/>
    <xf numFmtId="3" fontId="4" fillId="2" borderId="1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9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34" customWidth="1" min="6" max="6"/>
  </cols>
  <sheetData>
    <row r="1">
      <c r="A1" s="1" t="inlineStr">
        <is>
          <t>BÁO GIÁ — NÊN NHẬN HAY TỪ CHỐI?</t>
        </is>
      </c>
    </row>
    <row r="2">
      <c r="A2" s="2" t="inlineStr">
        <is>
          <t>Nhập 2 ô VÀNG bên dưới → bảng quyết định tự cập nhật cho từng ngách.</t>
        </is>
      </c>
    </row>
    <row r="4">
      <c r="A4" s="3" t="inlineStr">
        <is>
          <t>① Giá khách trả (USD/kg)</t>
        </is>
      </c>
      <c r="C4" s="4" t="n">
        <v>7.2</v>
      </c>
    </row>
    <row r="5">
      <c r="A5" s="3" t="inlineStr">
        <is>
          <t>② Số lượng khách đề nghị (kg)</t>
        </is>
      </c>
      <c r="C5" s="5" t="n">
        <v>3000</v>
      </c>
    </row>
    <row r="7">
      <c r="A7" s="6" t="inlineStr">
        <is>
          <t>KẾT QUẢ VỚI ĐƠN NÀY</t>
        </is>
      </c>
    </row>
    <row r="8">
      <c r="A8" s="7" t="inlineStr">
        <is>
          <t>Giá vốn FOB / kg</t>
        </is>
      </c>
      <c r="B8" s="8">
        <f>('Thong so'!$B$3)+('Thong so'!$B$4)/$C$5</f>
        <v/>
      </c>
      <c r="C8" s="9" t="inlineStr">
        <is>
          <t>Biến đổi + cố định chia theo SL.</t>
        </is>
      </c>
    </row>
    <row r="9">
      <c r="A9" s="7" t="inlineStr">
        <is>
          <t>Giá vốn FOB có dự phòng</t>
        </is>
      </c>
      <c r="B9" s="10">
        <f>(('Thong so'!$B$3)+('Thong so'!$B$4)/$C$5)*(1+'Thong so'!$B$5)</f>
        <v/>
      </c>
      <c r="C9" s="9" t="inlineStr">
        <is>
          <t>← con số dùng để tính lãi.</t>
        </is>
      </c>
    </row>
    <row r="10">
      <c r="A10" s="7" t="inlineStr">
        <is>
          <t>Biên lãi thực tế</t>
        </is>
      </c>
      <c r="B10" s="11">
        <f>($C$4-B9)/$C$4</f>
        <v/>
      </c>
      <c r="C10" s="9" t="inlineStr">
        <is>
          <t>So với biên tối thiểu từng ngách bên dưới.</t>
        </is>
      </c>
    </row>
    <row r="11">
      <c r="A11" s="7" t="inlineStr">
        <is>
          <t>Lãi / kg</t>
        </is>
      </c>
      <c r="B11" s="8">
        <f>$C$4-B9</f>
        <v/>
      </c>
    </row>
    <row r="12">
      <c r="A12" s="7" t="inlineStr">
        <is>
          <t>Tổng lãi cả lô (USD)</t>
        </is>
      </c>
      <c r="B12" s="12">
        <f>B11*$C$5</f>
        <v/>
      </c>
    </row>
    <row r="14">
      <c r="A14" s="6" t="inlineStr">
        <is>
          <t>KHUYẾN NGHỊ NHANH</t>
        </is>
      </c>
    </row>
    <row r="15">
      <c r="A15" s="13">
        <f>IF($C$4&lt;'Thong so'!$B$6,"❌ TỪ CHỐI — dưới giá sàn "&amp;TEXT('Thong so'!$B$6,"0.00")&amp;" USD/kg",IF(B10&gt;=0.15,"✅ NHẬN TỐT — biên "&amp;TEXT(B10,"0.0%")&amp;", hợp cả ngách ưu tiên",IF(B10&gt;=0.12,"⚠ NHẬN ĐƯỢC (mỏng) — chỉ hợp ngách ethnic/đơn lớn","❌ CHƯA ĐẠT — đàm phán: tăng SL hoặc trả trước 50%")))</f>
        <v/>
      </c>
    </row>
    <row r="16"/>
    <row r="18">
      <c r="A18" s="14" t="inlineStr">
        <is>
          <t>QUYẾT ĐỊNH THEO TỪNG NGÁCH</t>
        </is>
      </c>
    </row>
    <row r="19">
      <c r="A19" s="15" t="inlineStr">
        <is>
          <t>Ngách khách hàng</t>
        </is>
      </c>
      <c r="B19" s="15" t="inlineStr">
        <is>
          <t>Biên tối
thiểu</t>
        </is>
      </c>
      <c r="C19" s="15" t="inlineStr">
        <is>
          <t>SL tối
thiểu (kg)</t>
        </is>
      </c>
      <c r="D19" s="15" t="inlineStr">
        <is>
          <t>Giá CHÀO đầu
(USD/kg)</t>
        </is>
      </c>
      <c r="E19" s="15" t="inlineStr">
        <is>
          <t>Giá SÀN ngách
(USD/kg)</t>
        </is>
      </c>
      <c r="F19" s="15" t="inlineStr">
        <is>
          <t>QUYẾT ĐỊNH với đơn này</t>
        </is>
      </c>
    </row>
    <row r="20">
      <c r="A20" s="16">
        <f>'Thong so'!A11</f>
        <v/>
      </c>
      <c r="B20" s="17">
        <f>'Thong so'!$C$11</f>
        <v/>
      </c>
      <c r="C20" s="18">
        <f>'Thong so'!$D$11</f>
        <v/>
      </c>
      <c r="D20" s="19">
        <f>$B$9/(1-'Thong so'!$B$11)</f>
        <v/>
      </c>
      <c r="E20" s="20">
        <f>$B$9/(1-'Thong so'!$C$11)</f>
        <v/>
      </c>
      <c r="F20" s="21">
        <f>IF($C$4&lt;'Thong so'!$B$6,"❌ TỪ CHỐI (dưới sàn tuyệt đối)",IF(AND($B$10&gt;='Thong so'!$C$11,$C$5&gt;='Thong so'!$D$11),"✅ NHẬN",IF($B$10&gt;='Thong so'!$C$11,"⚠ NHẬN — nhưng SL dưới ngưỡng ngách","❌ Chưa đạt — đàm phán / bỏ")))</f>
        <v/>
      </c>
    </row>
    <row r="21">
      <c r="A21" s="16">
        <f>'Thong so'!A12</f>
        <v/>
      </c>
      <c r="B21" s="17">
        <f>'Thong so'!$C$12</f>
        <v/>
      </c>
      <c r="C21" s="18">
        <f>'Thong so'!$D$12</f>
        <v/>
      </c>
      <c r="D21" s="19">
        <f>$B$9/(1-'Thong so'!$B$12)</f>
        <v/>
      </c>
      <c r="E21" s="20">
        <f>$B$9/(1-'Thong so'!$C$12)</f>
        <v/>
      </c>
      <c r="F21" s="21">
        <f>IF($C$4&lt;'Thong so'!$B$6,"❌ TỪ CHỐI (dưới sàn tuyệt đối)",IF(AND($B$10&gt;='Thong so'!$C$12,$C$5&gt;='Thong so'!$D$12),"✅ NHẬN",IF($B$10&gt;='Thong so'!$C$12,"⚠ NHẬN — nhưng SL dưới ngưỡng ngách","❌ Chưa đạt — đàm phán / bỏ")))</f>
        <v/>
      </c>
    </row>
    <row r="22">
      <c r="A22" s="16">
        <f>'Thong so'!A13</f>
        <v/>
      </c>
      <c r="B22" s="17">
        <f>'Thong so'!$C$13</f>
        <v/>
      </c>
      <c r="C22" s="18">
        <f>'Thong so'!$D$13</f>
        <v/>
      </c>
      <c r="D22" s="19">
        <f>$B$9/(1-'Thong so'!$B$13)</f>
        <v/>
      </c>
      <c r="E22" s="20">
        <f>$B$9/(1-'Thong so'!$C$13)</f>
        <v/>
      </c>
      <c r="F22" s="21">
        <f>IF($C$4&lt;'Thong so'!$B$6,"❌ TỪ CHỐI (dưới sàn tuyệt đối)",IF(AND($B$10&gt;='Thong so'!$C$13,$C$5&gt;='Thong so'!$D$13),"✅ NHẬN",IF($B$10&gt;='Thong so'!$C$13,"⚠ NHẬN — nhưng SL dưới ngưỡng ngách","❌ Chưa đạt — đàm phán / bỏ")))</f>
        <v/>
      </c>
    </row>
    <row r="23">
      <c r="A23" s="16">
        <f>'Thong so'!A14</f>
        <v/>
      </c>
      <c r="B23" s="17">
        <f>'Thong so'!$C$14</f>
        <v/>
      </c>
      <c r="C23" s="18">
        <f>'Thong so'!$D$14</f>
        <v/>
      </c>
      <c r="D23" s="19">
        <f>$B$9/(1-'Thong so'!$B$14)</f>
        <v/>
      </c>
      <c r="E23" s="20">
        <f>$B$9/(1-'Thong so'!$C$14)</f>
        <v/>
      </c>
      <c r="F23" s="21">
        <f>IF($C$4&lt;'Thong so'!$B$6,"❌ TỪ CHỐI (dưới sàn tuyệt đối)",IF(AND($B$10&gt;='Thong so'!$C$14,$C$5&gt;='Thong so'!$D$14),"✅ NHẬN",IF($B$10&gt;='Thong so'!$C$14,"⚠ NHẬN — nhưng SL dưới ngưỡng ngách","❌ Chưa đạt — đàm phán / bỏ")))</f>
        <v/>
      </c>
    </row>
    <row r="24">
      <c r="A24" s="16">
        <f>'Thong so'!A15</f>
        <v/>
      </c>
      <c r="B24" s="17">
        <f>'Thong so'!$C$15</f>
        <v/>
      </c>
      <c r="C24" s="18">
        <f>'Thong so'!$D$15</f>
        <v/>
      </c>
      <c r="D24" s="19">
        <f>$B$9/(1-'Thong so'!$B$15)</f>
        <v/>
      </c>
      <c r="E24" s="20">
        <f>$B$9/(1-'Thong so'!$C$15)</f>
        <v/>
      </c>
      <c r="F24" s="21">
        <f>IF($C$4&lt;'Thong so'!$B$6,"❌ TỪ CHỐI (dưới sàn tuyệt đối)",IF(AND($B$10&gt;='Thong so'!$C$15,$C$5&gt;='Thong so'!$D$15),"✅ NHẬN",IF($B$10&gt;='Thong so'!$C$15,"⚠ NHẬN — nhưng SL dưới ngưỡng ngách","❌ Chưa đạt — đàm phán / bỏ")))</f>
        <v/>
      </c>
    </row>
    <row r="26">
      <c r="A26" s="9" t="inlineStr">
        <is>
          <t>MẸO ĐÀM PHÁN: đừng giảm giá trơn. Đổi giá lấy SL hoặc trả trước — "tôi xuống mức đó nếu anh lên 6.000 kg và trả trước 50%".</t>
        </is>
      </c>
    </row>
  </sheetData>
  <mergeCells count="7">
    <mergeCell ref="A1:G1"/>
    <mergeCell ref="A14:C14"/>
    <mergeCell ref="A2:G2"/>
    <mergeCell ref="A18:F18"/>
    <mergeCell ref="A26:F26"/>
    <mergeCell ref="A7:C7"/>
    <mergeCell ref="A15:C16"/>
  </mergeCells>
  <conditionalFormatting sqref="F20:F24">
    <cfRule type="expression" priority="1" dxfId="0">
      <formula>ISNUMBER(SEARCH("✅",F20))</formula>
    </cfRule>
    <cfRule type="expression" priority="2" dxfId="1">
      <formula>ISNUMBER(SEARCH("⚠",F20))</formula>
    </cfRule>
    <cfRule type="expression" priority="3" dxfId="2">
      <formula>ISNUMBER(SEARCH("❌",F20))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48" customWidth="1" min="6" max="6"/>
  </cols>
  <sheetData>
    <row r="1">
      <c r="A1" s="22" t="inlineStr">
        <is>
          <t>BẢNG GIÁ CHÀO THEO NGÁCH × SỐ LƯỢNG (USD/kg, FOB)</t>
        </is>
      </c>
    </row>
    <row r="2">
      <c r="A2" s="2" t="inlineStr">
        <is>
          <t>Giá tự tính từ mô hình. Dùng để chào khách. Giá giảm khi số lượng tăng.</t>
        </is>
      </c>
    </row>
    <row r="4">
      <c r="A4" s="15" t="inlineStr">
        <is>
          <t>Ngách khách hàng</t>
        </is>
      </c>
      <c r="B4" s="15" t="inlineStr">
        <is>
          <t>Biên
mục tiêu</t>
        </is>
      </c>
      <c r="C4" s="15" t="inlineStr">
        <is>
          <t>Giá chào
@ 1.500 kg</t>
        </is>
      </c>
      <c r="D4" s="15" t="inlineStr">
        <is>
          <t>Giá chào
@ 3.000 kg</t>
        </is>
      </c>
      <c r="E4" s="15" t="inlineStr">
        <is>
          <t>Giá chào
@ 6.000 kg</t>
        </is>
      </c>
      <c r="F4" s="15" t="inlineStr">
        <is>
          <t>Ghi chú chiến lược</t>
        </is>
      </c>
    </row>
    <row r="5">
      <c r="A5" s="16">
        <f>'Thong so'!A11</f>
        <v/>
      </c>
      <c r="B5" s="17">
        <f>'Thong so'!$B$11</f>
        <v/>
      </c>
      <c r="C5" s="23">
        <f>(('Thong so'!$B$3)+('Thong so'!$B$4)/1500)*(1+'Thong so'!$B$5)/(1-'Thong so'!$B$11)</f>
        <v/>
      </c>
      <c r="D5" s="23">
        <f>(('Thong so'!$B$3)+('Thong so'!$B$4)/3000)*(1+'Thong so'!$B$5)/(1-'Thong so'!$B$11)</f>
        <v/>
      </c>
      <c r="E5" s="23">
        <f>(('Thong so'!$B$3)+('Thong so'!$B$4)/6000)*(1+'Thong so'!$B$5)/(1-'Thong so'!$B$11)</f>
        <v/>
      </c>
      <c r="F5" s="24" t="inlineStr">
        <is>
          <t>Dễ vào nhất, chốt nhanh — đơn mở hàng.</t>
        </is>
      </c>
    </row>
    <row r="6">
      <c r="A6" s="16">
        <f>'Thong so'!A12</f>
        <v/>
      </c>
      <c r="B6" s="17">
        <f>'Thong so'!$B$12</f>
        <v/>
      </c>
      <c r="C6" s="23">
        <f>(('Thong so'!$B$3)+('Thong so'!$B$4)/1500)*(1+'Thong so'!$B$5)/(1-'Thong so'!$B$12)</f>
        <v/>
      </c>
      <c r="D6" s="23">
        <f>(('Thong so'!$B$3)+('Thong so'!$B$4)/3000)*(1+'Thong so'!$B$5)/(1-'Thong so'!$B$12)</f>
        <v/>
      </c>
      <c r="E6" s="23">
        <f>(('Thong so'!$B$3)+('Thong so'!$B$4)/6000)*(1+'Thong so'!$B$5)/(1-'Thong so'!$B$12)</f>
        <v/>
      </c>
      <c r="F6" s="24" t="inlineStr">
        <is>
          <t>★ Ưu tiên cao. Giá cố định 6–12 tháng, nhãn riêng.</t>
        </is>
      </c>
    </row>
    <row r="7">
      <c r="A7" s="16">
        <f>'Thong so'!A13</f>
        <v/>
      </c>
      <c r="B7" s="17">
        <f>'Thong so'!$B$13</f>
        <v/>
      </c>
      <c r="C7" s="23">
        <f>(('Thong so'!$B$3)+('Thong so'!$B$4)/1500)*(1+'Thong so'!$B$5)/(1-'Thong so'!$B$13)</f>
        <v/>
      </c>
      <c r="D7" s="23">
        <f>(('Thong so'!$B$3)+('Thong so'!$B$4)/3000)*(1+'Thong so'!$B$5)/(1-'Thong so'!$B$13)</f>
        <v/>
      </c>
      <c r="E7" s="23">
        <f>(('Thong so'!$B$3)+('Thong so'!$B$4)/6000)*(1+'Thong so'!$B$5)/(1-'Thong so'!$B$13)</f>
        <v/>
      </c>
      <c r="F7" s="24" t="inlineStr">
        <is>
          <t>Biên cao nhất. Bán bằng công thức + bao bì riêng.</t>
        </is>
      </c>
    </row>
    <row r="8">
      <c r="A8" s="16">
        <f>'Thong so'!A14</f>
        <v/>
      </c>
      <c r="B8" s="17">
        <f>'Thong so'!$B$14</f>
        <v/>
      </c>
      <c r="C8" s="23">
        <f>(('Thong so'!$B$3)+('Thong so'!$B$4)/1500)*(1+'Thong so'!$B$5)/(1-'Thong so'!$B$14)</f>
        <v/>
      </c>
      <c r="D8" s="23">
        <f>(('Thong so'!$B$3)+('Thong so'!$B$4)/3000)*(1+'Thong so'!$B$5)/(1-'Thong so'!$B$14)</f>
        <v/>
      </c>
      <c r="E8" s="23">
        <f>(('Thong so'!$B$3)+('Thong so'!$B$4)/6000)*(1+'Thong so'!$B$5)/(1-'Thong so'!$B$14)</f>
        <v/>
      </c>
      <c r="F8" s="24" t="inlineStr">
        <is>
          <t>Ngách ép giá — CHỈ nhận khi SL rất lớn.</t>
        </is>
      </c>
    </row>
    <row r="9">
      <c r="A9" s="16">
        <f>'Thong so'!A15</f>
        <v/>
      </c>
      <c r="B9" s="17">
        <f>'Thong so'!$B$15</f>
        <v/>
      </c>
      <c r="C9" s="23">
        <f>(('Thong so'!$B$3)+('Thong so'!$B$4)/1500)*(1+'Thong so'!$B$5)/(1-'Thong so'!$B$15)</f>
        <v/>
      </c>
      <c r="D9" s="23">
        <f>(('Thong so'!$B$3)+('Thong so'!$B$4)/3000)*(1+'Thong so'!$B$5)/(1-'Thong so'!$B$15)</f>
        <v/>
      </c>
      <c r="E9" s="23">
        <f>(('Thong so'!$B$3)+('Thong so'!$B$4)/6000)*(1+'Thong so'!$B$5)/(1-'Thong so'!$B$15)</f>
        <v/>
      </c>
      <c r="F9" s="24" t="inlineStr">
        <is>
          <t>⚠ Cần BRC/IFS — giai đoạn 3, chưa chào.</t>
        </is>
      </c>
    </row>
    <row r="11">
      <c r="A11" s="25" t="inlineStr">
        <is>
          <t>GIÁ SÀN TUYỆT ĐỐI (không bao giờ phá):</t>
        </is>
      </c>
      <c r="C11" s="26">
        <f>'Thong so'!$B$6</f>
        <v/>
      </c>
    </row>
  </sheetData>
  <mergeCells count="3">
    <mergeCell ref="A2:F2"/>
    <mergeCell ref="A11:B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1" customWidth="1" min="4" max="4"/>
    <col width="46" customWidth="1" min="5" max="5"/>
  </cols>
  <sheetData>
    <row r="1">
      <c r="A1" s="27" t="inlineStr">
        <is>
          <t>THÔNG SỐ MÔ HÌNH — chỉ sửa ô VÀNG</t>
        </is>
      </c>
    </row>
    <row r="2">
      <c r="A2" s="28" t="inlineStr">
        <is>
          <t>Tham số chi phí</t>
        </is>
      </c>
    </row>
    <row r="3">
      <c r="A3" s="29" t="inlineStr">
        <is>
          <t>Chi phí biến đổi / kg (mua hàng + bao bì)</t>
        </is>
      </c>
      <c r="B3" s="30" t="n">
        <v>5.55</v>
      </c>
      <c r="C3" s="9" t="inlineStr">
        <is>
          <t>USD/kg. Từ file 02_TINH GIA (sheet 03).</t>
        </is>
      </c>
    </row>
    <row r="4">
      <c r="A4" s="29" t="inlineStr">
        <is>
          <t>Chi phí cố định / lô (nội địa)</t>
        </is>
      </c>
      <c r="B4" s="31" t="n">
        <v>825</v>
      </c>
      <c r="C4" s="9" t="inlineStr">
        <is>
          <t>USD/lô. Gần như không đổi theo SL → lô lớn rẻ hơn.</t>
        </is>
      </c>
    </row>
    <row r="5">
      <c r="A5" s="29" t="inlineStr">
        <is>
          <t>Hệ số dự phòng rủi ro</t>
        </is>
      </c>
      <c r="B5" s="30" t="n">
        <v>0.02</v>
      </c>
      <c r="C5" s="9" t="inlineStr">
        <is>
          <t>Cộng cho tỷ giá/hao hụt. 0.02 = 2%.</t>
        </is>
      </c>
    </row>
    <row r="6">
      <c r="A6" s="29" t="inlineStr">
        <is>
          <t>Giá sàn tuyệt đối (không bao giờ phá)</t>
        </is>
      </c>
      <c r="B6" s="30" t="n">
        <v>6.3</v>
      </c>
      <c r="C6" s="9" t="inlineStr">
        <is>
          <t>USD/kg. Dưới mức này = từ chối mọi ngách.</t>
        </is>
      </c>
    </row>
    <row r="9">
      <c r="A9" s="32" t="inlineStr">
        <is>
          <t>BẢNG NGÁCH KHÁCH HÀNG — sửa biên lãi/SL tối thiểu ở ô VÀNG</t>
        </is>
      </c>
    </row>
    <row r="10">
      <c r="A10" s="15" t="inlineStr">
        <is>
          <t>Ngách khách hàng</t>
        </is>
      </c>
      <c r="B10" s="15" t="inlineStr">
        <is>
          <t>Biên mục tiêu
(giá chào đầu)</t>
        </is>
      </c>
      <c r="C10" s="15" t="inlineStr">
        <is>
          <t>Biên tối thiểu
(giá sàn ngách)</t>
        </is>
      </c>
      <c r="D10" s="15" t="inlineStr">
        <is>
          <t>SL tối thiểu
(kg)</t>
        </is>
      </c>
      <c r="E10" s="15" t="inlineStr">
        <is>
          <t>Ghi chú</t>
        </is>
      </c>
    </row>
    <row r="11">
      <c r="A11" s="33" t="inlineStr">
        <is>
          <t>Nhập khẩu châu Á / ethnic (ghép container)</t>
        </is>
      </c>
      <c r="B11" s="34" t="n">
        <v>0.15</v>
      </c>
      <c r="C11" s="34" t="n">
        <v>0.12</v>
      </c>
      <c r="D11" s="35" t="n">
        <v>1500</v>
      </c>
      <c r="E11" s="24" t="inlineStr">
        <is>
          <t>Dễ vào nhất, chốt nhanh — đơn mở hàng.</t>
        </is>
      </c>
    </row>
    <row r="12">
      <c r="A12" s="33" t="inlineStr">
        <is>
          <t>Phân phối thực phẩm khô / snack</t>
        </is>
      </c>
      <c r="B12" s="34" t="n">
        <v>0.2</v>
      </c>
      <c r="C12" s="34" t="n">
        <v>0.15</v>
      </c>
      <c r="D12" s="35" t="n">
        <v>1500</v>
      </c>
      <c r="E12" s="24" t="inlineStr">
        <is>
          <t>★ Ưu tiên cao. Giá cố định 6–12 tháng, nhãn riêng.</t>
        </is>
      </c>
    </row>
    <row r="13">
      <c r="A13" s="33" t="inlineStr">
        <is>
          <t>Chủ thương hiệu / private label</t>
        </is>
      </c>
      <c r="B13" s="34" t="n">
        <v>0.28</v>
      </c>
      <c r="C13" s="34" t="n">
        <v>0.25</v>
      </c>
      <c r="D13" s="35" t="n">
        <v>1000</v>
      </c>
      <c r="E13" s="24" t="inlineStr">
        <is>
          <t>Biên cao nhất. Bán bằng công thức + bao bì riêng.</t>
        </is>
      </c>
    </row>
    <row r="14">
      <c r="A14" s="33" t="inlineStr">
        <is>
          <t>Nhà sản xuất (nguyên liệu, dice/cube)</t>
        </is>
      </c>
      <c r="B14" s="34" t="n">
        <v>0.1</v>
      </c>
      <c r="C14" s="34" t="n">
        <v>0.08</v>
      </c>
      <c r="D14" s="35" t="n">
        <v>6000</v>
      </c>
      <c r="E14" s="24" t="inlineStr">
        <is>
          <t>Ngách ép giá — CHỈ nhận khi SL rất lớn.</t>
        </is>
      </c>
    </row>
    <row r="15">
      <c r="A15" s="33" t="inlineStr">
        <is>
          <t>Chuỗi bán lẻ / discounter (Aldi, Lidl)</t>
        </is>
      </c>
      <c r="B15" s="34" t="n">
        <v>0.1</v>
      </c>
      <c r="C15" s="34" t="n">
        <v>0.08</v>
      </c>
      <c r="D15" s="35" t="n">
        <v>6000</v>
      </c>
      <c r="E15" s="24" t="inlineStr">
        <is>
          <t>⚠ Cần BRC/IFS — giai đoạn 3, chưa chào.</t>
        </is>
      </c>
    </row>
  </sheetData>
  <mergeCells count="2">
    <mergeCell ref="A1:D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2026-08-10T16:03:36Z</dcterms:created>
  <dcterms:modified xmlns:dcterms="http://purl.org/dc/terms/" xmlns:xsi="http://www.w3.org/2001/XMLSchema-instance" xsi:type="dcterms:W3CDTF">2026-08-10T16:03:36Z</dcterms:modified>
</cp:coreProperties>
</file>