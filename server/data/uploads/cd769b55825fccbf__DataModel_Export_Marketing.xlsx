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xuất khẩu\XNK - Tony BS\BUILD PROFILE GROK\"/>
    </mc:Choice>
  </mc:AlternateContent>
  <xr:revisionPtr revIDLastSave="0" documentId="13_ncr:1_{BE4C8A4D-0BF5-4A6A-80ED-B32E665BBF73}" xr6:coauthVersionLast="47" xr6:coauthVersionMax="47" xr10:uidLastSave="{00000000-0000-0000-0000-000000000000}"/>
  <bookViews>
    <workbookView xWindow="15516" yWindow="-17388" windowWidth="30936" windowHeight="16776" xr2:uid="{00000000-000D-0000-FFFF-FFFF00000000}"/>
  </bookViews>
  <sheets>
    <sheet name="00_README" sheetId="1" r:id="rId1"/>
    <sheet name="RAW_Company" sheetId="2" r:id="rId2"/>
    <sheet name="RAW_Product" sheetId="3" r:id="rId3"/>
    <sheet name="RAW_Certificate" sheetId="4" r:id="rId4"/>
    <sheet name="RAW_Media" sheetId="5" r:id="rId5"/>
    <sheet name="RAW_Market" sheetId="6" r:id="rId6"/>
    <sheet name="RAW_Config" sheetId="7" r:id="rId7"/>
    <sheet name="BRG_Product_Certificate" sheetId="8" r:id="rId8"/>
    <sheet name="BRG_Product_Media" sheetId="9" r:id="rId9"/>
    <sheet name="BRG_Company_Certificate" sheetId="10" r:id="rId10"/>
    <sheet name="BRG_Company_Market" sheetId="11" r:id="rId11"/>
    <sheet name="V_CompanyProfile" sheetId="12" r:id="rId12"/>
    <sheet name="V_Catalogue" sheetId="13" r:id="rId13"/>
    <sheet name="V_OnePager" sheetId="14" r:id="rId14"/>
    <sheet name="V_ProductCertMatrix" sheetId="15" r:id="rId15"/>
    <sheet name="90_Relationships" sheetId="16" r:id="rId16"/>
    <sheet name="RAW_Model" sheetId="17" r:id="rId17"/>
    <sheet name="RAW_BuyerCulture" sheetId="18" r:id="rId18"/>
    <sheet name="RAW_Regulation" sheetId="19" r:id="rId19"/>
    <sheet name="RAW_Phase" sheetId="20" r:id="rId20"/>
    <sheet name="RAW_Action" sheetId="21" r:id="rId21"/>
    <sheet name="BRG_Market_Model" sheetId="22" r:id="rId22"/>
    <sheet name="V_PriorityMatrix" sheetId="23" r:id="rId23"/>
    <sheet name="V_MarketStrategy" sheetId="24" r:id="rId24"/>
  </sheets>
  <definedNames>
    <definedName name="_xlnm._FilterDatabase" localSheetId="18" hidden="1">RAW_Regulation!$A$3:$G$22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4" l="1"/>
  <c r="F10" i="24"/>
  <c r="E10" i="24"/>
  <c r="D10" i="24"/>
  <c r="C10" i="24"/>
  <c r="B10" i="24"/>
  <c r="A10" i="24"/>
  <c r="G9" i="24"/>
  <c r="F9" i="24"/>
  <c r="E9" i="24"/>
  <c r="D9" i="24"/>
  <c r="C9" i="24"/>
  <c r="B9" i="24"/>
  <c r="A9" i="24"/>
  <c r="G8" i="24"/>
  <c r="F8" i="24"/>
  <c r="E8" i="24"/>
  <c r="D8" i="24"/>
  <c r="C8" i="24"/>
  <c r="B8" i="24"/>
  <c r="A8" i="24"/>
  <c r="G7" i="24"/>
  <c r="F7" i="24"/>
  <c r="E7" i="24"/>
  <c r="D7" i="24"/>
  <c r="C7" i="24"/>
  <c r="B7" i="24"/>
  <c r="A7" i="24"/>
  <c r="G6" i="24"/>
  <c r="F6" i="24"/>
  <c r="E6" i="24"/>
  <c r="D6" i="24"/>
  <c r="C6" i="24"/>
  <c r="B6" i="24"/>
  <c r="A6" i="24"/>
  <c r="G5" i="24"/>
  <c r="F5" i="24"/>
  <c r="E5" i="24"/>
  <c r="D5" i="24"/>
  <c r="C5" i="24"/>
  <c r="B5" i="24"/>
  <c r="A5" i="24"/>
  <c r="I10" i="23"/>
  <c r="H10" i="23"/>
  <c r="G10" i="23"/>
  <c r="F10" i="23"/>
  <c r="E10" i="23"/>
  <c r="D10" i="23"/>
  <c r="C10" i="23"/>
  <c r="B10" i="23"/>
  <c r="A10" i="23"/>
  <c r="I9" i="23"/>
  <c r="H9" i="23"/>
  <c r="G9" i="23"/>
  <c r="F9" i="23"/>
  <c r="E9" i="23"/>
  <c r="D9" i="23"/>
  <c r="C9" i="23"/>
  <c r="B9" i="23"/>
  <c r="A9" i="23"/>
  <c r="I8" i="23"/>
  <c r="H8" i="23"/>
  <c r="G8" i="23"/>
  <c r="F8" i="23"/>
  <c r="E8" i="23"/>
  <c r="D8" i="23"/>
  <c r="C8" i="23"/>
  <c r="B8" i="23"/>
  <c r="A8" i="23"/>
  <c r="I7" i="23"/>
  <c r="H7" i="23"/>
  <c r="G7" i="23"/>
  <c r="F7" i="23"/>
  <c r="E7" i="23"/>
  <c r="D7" i="23"/>
  <c r="C7" i="23"/>
  <c r="B7" i="23"/>
  <c r="A7" i="23"/>
  <c r="I6" i="23"/>
  <c r="H6" i="23"/>
  <c r="G6" i="23"/>
  <c r="F6" i="23"/>
  <c r="E6" i="23"/>
  <c r="D6" i="23"/>
  <c r="C6" i="23"/>
  <c r="B6" i="23"/>
  <c r="A6" i="23"/>
  <c r="I5" i="23"/>
  <c r="H5" i="23"/>
  <c r="G5" i="23"/>
  <c r="F5" i="23"/>
  <c r="E5" i="23"/>
  <c r="D5" i="23"/>
  <c r="C5" i="23"/>
  <c r="B5" i="23"/>
  <c r="A5" i="23"/>
  <c r="I6" i="15"/>
  <c r="H6" i="15"/>
  <c r="G6" i="15"/>
  <c r="F6" i="15"/>
  <c r="E6" i="15"/>
  <c r="D6" i="15"/>
  <c r="C6" i="15"/>
  <c r="B6" i="15"/>
  <c r="A6" i="15"/>
  <c r="I5" i="15"/>
  <c r="H5" i="15"/>
  <c r="G5" i="15"/>
  <c r="F5" i="15"/>
  <c r="E5" i="15"/>
  <c r="D5" i="15"/>
  <c r="C5" i="15"/>
  <c r="B5" i="15"/>
  <c r="A5" i="15"/>
  <c r="I4" i="15"/>
  <c r="H4" i="15"/>
  <c r="G4" i="15"/>
  <c r="F4" i="15"/>
  <c r="E4" i="15"/>
  <c r="D4" i="15"/>
  <c r="C4" i="15"/>
  <c r="B4" i="15"/>
  <c r="A4" i="15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5" i="14"/>
  <c r="B14" i="14"/>
  <c r="B13" i="14"/>
  <c r="B12" i="14"/>
  <c r="B11" i="14"/>
  <c r="B10" i="14"/>
  <c r="B9" i="14"/>
  <c r="B8" i="14"/>
  <c r="B7" i="14"/>
  <c r="B6" i="14"/>
  <c r="I6" i="13"/>
  <c r="H6" i="13"/>
  <c r="G6" i="13"/>
  <c r="F6" i="13"/>
  <c r="E6" i="13"/>
  <c r="D6" i="13"/>
  <c r="C6" i="13"/>
  <c r="B6" i="13"/>
  <c r="A6" i="13"/>
  <c r="I5" i="13"/>
  <c r="F5" i="13"/>
  <c r="E5" i="13"/>
  <c r="D5" i="13"/>
  <c r="C5" i="13"/>
  <c r="B5" i="13"/>
  <c r="A5" i="13"/>
  <c r="H5" i="13" s="1"/>
  <c r="I4" i="13"/>
  <c r="H4" i="13"/>
  <c r="G4" i="13"/>
  <c r="F4" i="13"/>
  <c r="E4" i="13"/>
  <c r="D4" i="13"/>
  <c r="C4" i="13"/>
  <c r="B4" i="13"/>
  <c r="A4" i="13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G5" i="13" l="1"/>
</calcChain>
</file>

<file path=xl/sharedStrings.xml><?xml version="1.0" encoding="utf-8"?>
<sst xmlns="http://schemas.openxmlformats.org/spreadsheetml/2006/main" count="1094" uniqueCount="693">
  <si>
    <t>HỆ THỐNG DỮ LIỆU MARKETING XUẤT KHẨU — DATA MODEL</t>
  </si>
  <si>
    <t>CÁCH DÙNG</t>
  </si>
  <si>
    <t>1. Anh/chị CHỈ sửa các sheet bắt đầu bằng  RAW_  (ô nền VÀNG, chữ XANH).</t>
  </si>
  <si>
    <t>2. Các sheet  BRG_  là bảng cầu nối quan hệ nhiều-nhiều (cũng sửa được).</t>
  </si>
  <si>
    <t>3. Các sheet  V_  (View) TỰ ĐỘNG tính từ RAW bằng công thức — KHÔNG sửa tay.</t>
  </si>
  <si>
    <t>4. Thêm dòng mới: gõ tiếp ngay dưới bảng, Excel Table sẽ tự mở rộng.</t>
  </si>
  <si>
    <t>5. Xong thì lưu; các View cập nhật tức thì (không cần Refresh).</t>
  </si>
  <si>
    <t>QUY ƯỚC MÀU</t>
  </si>
  <si>
    <t>Ô VÀNG + chữ XANH  =  dữ liệu anh/chị nhập/sửa (INPUT).</t>
  </si>
  <si>
    <t>Ô XANH NHẠT (View) =  ô công thức tự tính (OUTPUT) — đừng gõ đè.</t>
  </si>
  <si>
    <t>Cột tiêu đề chữ VÀNG = cột KHÓA (ID) dùng để liên kết bảng — giữ giá trị duy nhất.</t>
  </si>
  <si>
    <t>SƠ ĐỒ QUAN HỆ (xem chi tiết ở sheet 90_Relationships)</t>
  </si>
  <si>
    <t>RAW_Company 1—N RAW_Product ; N—N Certificate / Media / Market qua các bảng BRG_</t>
  </si>
  <si>
    <t>DANH SÁCH SHEET</t>
  </si>
  <si>
    <t>RAW_Company, RAW_Product, RAW_Certificate, RAW_Media, RAW_Market, RAW_Config</t>
  </si>
  <si>
    <t>BRG_Product_Certificate, BRG_Product_Media, BRG_Company_Certificate, BRG_Company_Market</t>
  </si>
  <si>
    <t>V_CompanyProfile, V_Catalogue, V_OnePager, V_ProductCertMatrix</t>
  </si>
  <si>
    <t>90_Relationships (bản đồ PK/FK để import vào Power BI)</t>
  </si>
  <si>
    <t>— BỔ SUNG: Mô-đun Chiến lược Mô hình Xuất khẩu —</t>
  </si>
  <si>
    <t>RAW_Model</t>
  </si>
  <si>
    <t>7 mô hình KD xuất khẩu + đặc tính.</t>
  </si>
  <si>
    <t>RAW_Market (mở rộng)</t>
  </si>
  <si>
    <t>Thêm cột G/H/I: PriorityRank, RecommendedModel, StrategyNote.</t>
  </si>
  <si>
    <t>RAW_BuyerCulture</t>
  </si>
  <si>
    <t>Văn hóa buyer theo quốc gia.</t>
  </si>
  <si>
    <t>RAW_Regulation</t>
  </si>
  <si>
    <t>Luật &amp; quy định theo quốc gia (AutoFilter theo MarketID).</t>
  </si>
  <si>
    <t>RAW_Phase</t>
  </si>
  <si>
    <t>Lộ trình lai 4 giai đoạn.</t>
  </si>
  <si>
    <t>RAW_Action</t>
  </si>
  <si>
    <t>Việc 90 ngày.</t>
  </si>
  <si>
    <t>BRG_Market_Model</t>
  </si>
  <si>
    <t>Ma trận ưu tiên: điểm + thứ tự triển khai.</t>
  </si>
  <si>
    <t>V_PriorityMatrix</t>
  </si>
  <si>
    <t>MASTER — lưới Thị trường × Mô hình (tự cập nhật).</t>
  </si>
  <si>
    <t>V_MarketStrategy</t>
  </si>
  <si>
    <t>MASTER — tóm tắt chiến lược mỗi thị trường (tự cập nhật).</t>
  </si>
  <si>
    <t>① RAW_Company — Thông tin công ty (1 dòng/công ty)</t>
  </si>
  <si>
    <t>PK = CompanyID. Sửa trực tiếp các ô vàng.</t>
  </si>
  <si>
    <t>CompanyID</t>
  </si>
  <si>
    <t>CompanyName_VI</t>
  </si>
  <si>
    <t>CompanyName_EN</t>
  </si>
  <si>
    <t>FoundedYear</t>
  </si>
  <si>
    <t>Address_HQ</t>
  </si>
  <si>
    <t>Address_Factory</t>
  </si>
  <si>
    <t>RawMaterialZone</t>
  </si>
  <si>
    <t>Email</t>
  </si>
  <si>
    <t>Phone</t>
  </si>
  <si>
    <t>WeChat</t>
  </si>
  <si>
    <t>Zalo</t>
  </si>
  <si>
    <t>Website</t>
  </si>
  <si>
    <t>Vision</t>
  </si>
  <si>
    <t>Mission</t>
  </si>
  <si>
    <t>CoreValues</t>
  </si>
  <si>
    <t>CompetitiveEdge</t>
  </si>
  <si>
    <t>ProductionCapacity</t>
  </si>
  <si>
    <t>Achievements</t>
  </si>
  <si>
    <t>C001</t>
  </si>
  <si>
    <t>Công ty Cổ phần Nông Thủy Sản Mekong Delta Pride</t>
  </si>
  <si>
    <t>Mekong Delta Pride Agri-Aqua JSC</t>
  </si>
  <si>
    <t>Lô C12, KCN Trà Nóc 2, Q. Bình Thủy, TP. Cần Thơ</t>
  </si>
  <si>
    <t>KCN Sông Hậu, huyện Châu Thành, tỉnh Hậu Giang</t>
  </si>
  <si>
    <t>320 ha sầu riêng liên kết (Tiền Giang, Đắk Lắk); 180 ha ao tôm/cá tra ASC (Sóc Trăng, Đồng Tháp)</t>
  </si>
  <si>
    <t>sales@mekongdeltapride.com</t>
  </si>
  <si>
    <t>+84 909 123 456</t>
  </si>
  <si>
    <t>MekongPride_Export</t>
  </si>
  <si>
    <t>0909123456</t>
  </si>
  <si>
    <t>www.mekongdeltapride.com</t>
  </si>
  <si>
    <t>Trở thành nhà cung cấp nông–thủy sản Việt Nam đáng tin cậy nhất khu vực châu Á–Thái Bình Dương vào năm 2030.</t>
  </si>
  <si>
    <t>Mang nông sản và thủy sản Việt Nam đạt chuẩn quốc tế đến bàn ăn toàn cầu, cam kết truy xuất nguồn gốc 100% và chất lượng ổn định.</t>
  </si>
  <si>
    <t>Minh bạch – Chất lượng – Đúng hẹn – Bền vững – Đối tác dài hạn</t>
  </si>
  <si>
    <t>Vùng nguyên liệu khép kín farm-to-port; Kho lạnh 5.000 tấn + 4 hầm IQF -40°C; Lab kiểm kháng sinh tại chỗ; Đủ HACCP/ISO22000/ASC/GlobalGAP/BRC; 6 năm xuất khẩu ổn định</t>
  </si>
  <si>
    <t>Sầu riêng 1.200 tấn/tháng; Tôm 800 tấn/tháng; Cá tra fillet 1.500 tấn/tháng; 3 dây chuyền IQF, 120 tấn/ngày</t>
  </si>
  <si>
    <t>Top 50 DN thủy sản VASEP 2023; Mã vùng trồng &amp; cơ sở đóng gói GACC; Khách dài hạn EU &amp; Quảng Châu; 6 năm 0 lô bị trả về</t>
  </si>
  <si>
    <t>② RAW_Product — Sản phẩm (nhiều dòng)</t>
  </si>
  <si>
    <t>PK = ProductID ; FK = CompanyID → RAW_Company.</t>
  </si>
  <si>
    <t>ProductID</t>
  </si>
  <si>
    <t>Name_VI</t>
  </si>
  <si>
    <t>Name_EN</t>
  </si>
  <si>
    <t>HSCode</t>
  </si>
  <si>
    <t>Size</t>
  </si>
  <si>
    <t>Packing</t>
  </si>
  <si>
    <t>ShelfLife</t>
  </si>
  <si>
    <t>Temperature</t>
  </si>
  <si>
    <t>MOQ</t>
  </si>
  <si>
    <t>MonthlyCapacity</t>
  </si>
  <si>
    <t>USP</t>
  </si>
  <si>
    <t>P001</t>
  </si>
  <si>
    <t>Sầu riêng đông lạnh nguyên múi</t>
  </si>
  <si>
    <t>Frozen Durian (Ri6 &amp; Monthong)</t>
  </si>
  <si>
    <t>0811.90.00</t>
  </si>
  <si>
    <t>Múi 100–150g; whole 1.8–3.5kg</t>
  </si>
  <si>
    <t>1kg/túi × 10 túi/thùng</t>
  </si>
  <si>
    <t>24 tháng</t>
  </si>
  <si>
    <t>-18°C</t>
  </si>
  <si>
    <t>1×40ft (25 tấn)</t>
  </si>
  <si>
    <t>1.200 tấn/tháng</t>
  </si>
  <si>
    <t>Cấp đông IQF giữ nguyên vị, tách múi thủ công, mã vùng trồng xuất TQ chính ngạch</t>
  </si>
  <si>
    <t>P002</t>
  </si>
  <si>
    <t>Tôm thẻ đông lạnh bóc vỏ</t>
  </si>
  <si>
    <t>Frozen Vannamei Shrimp (PD/PUD)</t>
  </si>
  <si>
    <t>0306.17.00</t>
  </si>
  <si>
    <t>21/25, 26/30, 31/40, 41/50 (con/lb)</t>
  </si>
  <si>
    <t>1kg block × 10/thùng; hoặc IQF 1kg/túi</t>
  </si>
  <si>
    <t>1×40ft</t>
  </si>
  <si>
    <t>800 tấn/tháng</t>
  </si>
  <si>
    <t>Nuôi ASC không kháng sinh, kiểm lab 100% lô, cấp đông trong 4h sau thu hoạch</t>
  </si>
  <si>
    <t>P003</t>
  </si>
  <si>
    <t>Cá tra fillet đông lạnh</t>
  </si>
  <si>
    <t>Frozen Pangasius Fillet</t>
  </si>
  <si>
    <t>0304.62.00</t>
  </si>
  <si>
    <t>120-170, 170-220, 220-up (g)</t>
  </si>
  <si>
    <t>IQF 1kg × 10/thùng; mạ băng 10–20%</t>
  </si>
  <si>
    <t>1.500 tấn/tháng</t>
  </si>
  <si>
    <t>Thịt trắng, mạ băng minh bạch đúng %, truy xuất từng ao nuôi qua QR</t>
  </si>
  <si>
    <t>③ RAW_Certificate — Chứng nhận (nhiều dòng)</t>
  </si>
  <si>
    <t>PK = CertID.</t>
  </si>
  <si>
    <t>CertID</t>
  </si>
  <si>
    <t>CertName</t>
  </si>
  <si>
    <t>IssuedBy</t>
  </si>
  <si>
    <t>Scope</t>
  </si>
  <si>
    <t>FileLink</t>
  </si>
  <si>
    <t>ExpiryDate</t>
  </si>
  <si>
    <t>CT001</t>
  </si>
  <si>
    <t>HACCP</t>
  </si>
  <si>
    <t>NSF / Bureau Veritas</t>
  </si>
  <si>
    <t>Toàn nhà máy</t>
  </si>
  <si>
    <t>[dán link PDF]</t>
  </si>
  <si>
    <t>2026-12-31</t>
  </si>
  <si>
    <t>CT002</t>
  </si>
  <si>
    <t>ISO 22000:2018</t>
  </si>
  <si>
    <t>Bureau Veritas</t>
  </si>
  <si>
    <t>Hệ thống ATTP</t>
  </si>
  <si>
    <t>[link]</t>
  </si>
  <si>
    <t>2026-08-30</t>
  </si>
  <si>
    <t>CT003</t>
  </si>
  <si>
    <t>ASC</t>
  </si>
  <si>
    <t>ASC / Control Union</t>
  </si>
  <si>
    <t>Vùng nuôi tôm &amp; cá tra</t>
  </si>
  <si>
    <t>2027-03-15</t>
  </si>
  <si>
    <t>CT004</t>
  </si>
  <si>
    <t>GlobalG.A.P</t>
  </si>
  <si>
    <t>Control Union</t>
  </si>
  <si>
    <t>Vùng trồng &amp; nuôi</t>
  </si>
  <si>
    <t>2026-11-20</t>
  </si>
  <si>
    <t>CT005</t>
  </si>
  <si>
    <t>BRC Food</t>
  </si>
  <si>
    <t>SGS</t>
  </si>
  <si>
    <t>Chế biến đông lạnh</t>
  </si>
  <si>
    <t>2026-10-05</t>
  </si>
  <si>
    <t>CT006</t>
  </si>
  <si>
    <t>Mã vùng trồng &amp; cơ sở đóng gói GACC</t>
  </si>
  <si>
    <t>Hải quan Trung Quốc (GACC)</t>
  </si>
  <si>
    <t>Xuất khẩu chính ngạch TQ</t>
  </si>
  <si>
    <t>2027-01-01</t>
  </si>
  <si>
    <t>CT007</t>
  </si>
  <si>
    <t>BAP (Best Aquaculture Practices)</t>
  </si>
  <si>
    <t>GAA</t>
  </si>
  <si>
    <t>Trại nuôi &amp; nhà máy</t>
  </si>
  <si>
    <t>2026-09-30</t>
  </si>
  <si>
    <t>CT008</t>
  </si>
  <si>
    <t>HALAL</t>
  </si>
  <si>
    <t>HCA Vietnam</t>
  </si>
  <si>
    <t>Sản phẩm cá tra</t>
  </si>
  <si>
    <t>2026-12-01</t>
  </si>
  <si>
    <t>④ RAW_Media — Tư liệu hình ảnh/video (nhiều dòng)</t>
  </si>
  <si>
    <t>PK = MediaID.</t>
  </si>
  <si>
    <t>MediaID</t>
  </si>
  <si>
    <t>MediaType</t>
  </si>
  <si>
    <t>Title</t>
  </si>
  <si>
    <t>Note</t>
  </si>
  <si>
    <t>M001</t>
  </si>
  <si>
    <t>Logo</t>
  </si>
  <si>
    <t>Logo vector chính</t>
  </si>
  <si>
    <t>AI/PNG nền trong</t>
  </si>
  <si>
    <t>M002</t>
  </si>
  <si>
    <t>Product Photo</t>
  </si>
  <si>
    <t>Bộ ảnh sầu riêng đông lạnh</t>
  </si>
  <si>
    <t>15–20 ảnh studio nền trắng</t>
  </si>
  <si>
    <t>M003</t>
  </si>
  <si>
    <t>Bộ ảnh tôm thẻ</t>
  </si>
  <si>
    <t>Ảnh sản phẩm + đóng gói</t>
  </si>
  <si>
    <t>M004</t>
  </si>
  <si>
    <t>Bộ ảnh cá tra fillet</t>
  </si>
  <si>
    <t>M005</t>
  </si>
  <si>
    <t>Video</t>
  </si>
  <si>
    <t>Video giới thiệu nhà máy 60–90s</t>
  </si>
  <si>
    <t>YouTube/Drive</t>
  </si>
  <si>
    <t>M006</t>
  </si>
  <si>
    <t>Facility Photo</t>
  </si>
  <si>
    <t>Ảnh vườn/ao &amp; dây chuyền IQF</t>
  </si>
  <si>
    <t>Vùng nguyên liệu + nhà máy</t>
  </si>
  <si>
    <t>⑤ RAW_Market — Thị trường (nhiều dòng)</t>
  </si>
  <si>
    <t>PK = MarketID. SharePercent lưu dạng phân số (0.45 = 45%).</t>
  </si>
  <si>
    <t>MarketID</t>
  </si>
  <si>
    <t>MarketName</t>
  </si>
  <si>
    <t>Country</t>
  </si>
  <si>
    <t>Language</t>
  </si>
  <si>
    <t>SharePercent</t>
  </si>
  <si>
    <t>Channel</t>
  </si>
  <si>
    <t>PriorityRank</t>
  </si>
  <si>
    <t>RecommendedModel_VI</t>
  </si>
  <si>
    <t>StrategyNote_VI</t>
  </si>
  <si>
    <t>MK001</t>
  </si>
  <si>
    <t>Trung Quốc</t>
  </si>
  <si>
    <t>China</t>
  </si>
  <si>
    <t>中文</t>
  </si>
  <si>
    <t>0.45</t>
  </si>
  <si>
    <t>Nhập khẩu chính ngạch / Chợ đầu mối Quảng Châu</t>
  </si>
  <si>
    <t>XK chính ngạch → NPP độc quyền → VPĐD Quảng Châu</t>
  </si>
  <si>
    <t>Thị trường lớn nhất. Bám chính ngạch, tránh tiểu ngạch. Cần người nói tiếng Trung + WeChat.</t>
  </si>
  <si>
    <t>MK002</t>
  </si>
  <si>
    <t>Hà Lan (EU)</t>
  </si>
  <si>
    <t>Netherlands</t>
  </si>
  <si>
    <t>English</t>
  </si>
  <si>
    <t>0.15</t>
  </si>
  <si>
    <t>Chuỗi siêu thị / Nhà nhập khẩu</t>
  </si>
  <si>
    <t>XK trực tiếp cho importer Rotterdam → Kho lạnh ký gửi làm hub EU</t>
  </si>
  <si>
    <t>Dùng Rotterdam làm hub trung chuyển toàn EU. Nhấn mạnh bền vững &amp; truy xuất.</t>
  </si>
  <si>
    <t>MK003</t>
  </si>
  <si>
    <t>Đức (EU)</t>
  </si>
  <si>
    <t>Germany</t>
  </si>
  <si>
    <t>0.10</t>
  </si>
  <si>
    <t>Nhà nhập khẩu / Foodservice</t>
  </si>
  <si>
    <t>XK trực tiếp cho importer/foodservice qua hub Hà Lan; không cần pháp nhân riêng</t>
  </si>
  <si>
    <t>Buyer kỹ tính, chuộng IFS/BRC. Phủ qua hub NL, không mở pháp nhân riêng.</t>
  </si>
  <si>
    <t>MK004</t>
  </si>
  <si>
    <t>Mỹ</t>
  </si>
  <si>
    <t>USA</t>
  </si>
  <si>
    <t>Distributor / Retail</t>
  </si>
  <si>
    <t>XK trực tiếp cho distributor + FSVP agent → Công ty con + kho lạnh khi đủ volume</t>
  </si>
  <si>
    <t>Kênh distributor gốc Á mạnh cho chả giò/cá tra. Cảnh giác SIMP &amp; thuế AD/CVD với tôm.</t>
  </si>
  <si>
    <t>MK005</t>
  </si>
  <si>
    <t>Hàn Quốc</t>
  </si>
  <si>
    <t>South Korea</t>
  </si>
  <si>
    <t>Importer / Retail</t>
  </si>
  <si>
    <t>Nhà phân phối/importer bản địa (họ nắm giấy phép) → cân nhắc JV nếu mở rộng</t>
  </si>
  <si>
    <t>MFDS kiểm tra chặt. Tận dụng ưu đãi thuế VKFTA (C/O form VK).</t>
  </si>
  <si>
    <t>MK006</t>
  </si>
  <si>
    <t>UAE (Trung Đông)</t>
  </si>
  <si>
    <t>UAE</t>
  </si>
  <si>
    <t>0.05</t>
  </si>
  <si>
    <t>Importer / HORECA</t>
  </si>
  <si>
    <t>XK trực tiếp cho importer Dubai (HALAL) → VPĐD/free-zone làm hub tái xuất GCC &amp; châu Phi</t>
  </si>
  <si>
    <t>HALAL bắt buộc. Dubai là hub tái xuất GCC/châu Phi. Lưu ý Ramadan &amp; cuối tuần T6-T7.</t>
  </si>
  <si>
    <t>⑥ RAW_Config — Tham số hệ thống (key–value)</t>
  </si>
  <si>
    <t>PK = ConfigKey.</t>
  </si>
  <si>
    <t>ConfigKey</t>
  </si>
  <si>
    <t>ConfigValue</t>
  </si>
  <si>
    <t>ActiveCompanyID</t>
  </si>
  <si>
    <t>Công ty đang chọn để xuất tài liệu</t>
  </si>
  <si>
    <t>PriorityMarket</t>
  </si>
  <si>
    <t>Trung Quốc (chính ngạch) + EU + Trung Đông</t>
  </si>
  <si>
    <t>PrimaryLanguage</t>
  </si>
  <si>
    <t>SecondaryLanguage</t>
  </si>
  <si>
    <t>中文 (Chinese)</t>
  </si>
  <si>
    <t>BrandVoice</t>
  </si>
  <si>
    <t>Chuyên nghiệp, đáng tin cậy, nhấn mạnh minh bạch &amp; truy xuất nguồn gốc; giọng đối tác B2B dài hạn</t>
  </si>
  <si>
    <t>DriveLink</t>
  </si>
  <si>
    <t>[dán link Google Drive tổng]</t>
  </si>
  <si>
    <t>Calendly</t>
  </si>
  <si>
    <t>[dán link Calendly]</t>
  </si>
  <si>
    <t>BRG_Product_Certificate — Sản phẩm ↔ Chứng nhận (N:N)</t>
  </si>
  <si>
    <t>LinkID</t>
  </si>
  <si>
    <t>PC01</t>
  </si>
  <si>
    <t>PC02</t>
  </si>
  <si>
    <t>PC03</t>
  </si>
  <si>
    <t>PC04</t>
  </si>
  <si>
    <t>PC05</t>
  </si>
  <si>
    <t>PC06</t>
  </si>
  <si>
    <t>PC07</t>
  </si>
  <si>
    <t>PC08</t>
  </si>
  <si>
    <t>PC09</t>
  </si>
  <si>
    <t>PC10</t>
  </si>
  <si>
    <t>PC11</t>
  </si>
  <si>
    <t>PC12</t>
  </si>
  <si>
    <t>PC13</t>
  </si>
  <si>
    <t>BRG_Product_Media — Sản phẩm ↔ Media (N:N)</t>
  </si>
  <si>
    <t>PM01</t>
  </si>
  <si>
    <t>PM02</t>
  </si>
  <si>
    <t>PM03</t>
  </si>
  <si>
    <t>BRG_Company_Certificate — Công ty ↔ Chứng nhận (N:N)</t>
  </si>
  <si>
    <t>CC01</t>
  </si>
  <si>
    <t>CC02</t>
  </si>
  <si>
    <t>CC03</t>
  </si>
  <si>
    <t>CC04</t>
  </si>
  <si>
    <t>CC05</t>
  </si>
  <si>
    <t>CC06</t>
  </si>
  <si>
    <t>CC07</t>
  </si>
  <si>
    <t>CC08</t>
  </si>
  <si>
    <t>BRG_Company_Market — Công ty ↔ Thị trường (N:N)</t>
  </si>
  <si>
    <t>CM01</t>
  </si>
  <si>
    <t>CM02</t>
  </si>
  <si>
    <t>CM03</t>
  </si>
  <si>
    <t>CM04</t>
  </si>
  <si>
    <t>CM05</t>
  </si>
  <si>
    <t>CM06</t>
  </si>
  <si>
    <t>V_CompanyProfile — TỰ ĐỘNG từ RAW (chọn công ty ở RAW_Config!ActiveCompanyID)</t>
  </si>
  <si>
    <t>Trường</t>
  </si>
  <si>
    <t>Giá trị (tự động)</t>
  </si>
  <si>
    <t>Company ID</t>
  </si>
  <si>
    <t>Tên công ty (VI)</t>
  </si>
  <si>
    <t>Company Name (EN)</t>
  </si>
  <si>
    <t>Năm thành lập</t>
  </si>
  <si>
    <t>Trụ sở</t>
  </si>
  <si>
    <t>Nhà máy</t>
  </si>
  <si>
    <t>Vùng nguyên liệu</t>
  </si>
  <si>
    <t>Core Values</t>
  </si>
  <si>
    <t>Competitive Edge</t>
  </si>
  <si>
    <t>Production Capacity</t>
  </si>
  <si>
    <t>Số thị trường</t>
  </si>
  <si>
    <t>Số chứng nhận (công ty)</t>
  </si>
  <si>
    <t>V_Catalogue — TỰ ĐỘNG: mỗi dòng 1 sản phẩm (thêm SP ở RAW_Product là tự có)</t>
  </si>
  <si>
    <t>Product (EN)</t>
  </si>
  <si>
    <t>Product (VI)</t>
  </si>
  <si>
    <t>HS Code</t>
  </si>
  <si>
    <t>Monthly Capacity</t>
  </si>
  <si>
    <t># Certs</t>
  </si>
  <si>
    <t># Media</t>
  </si>
  <si>
    <t>Company (EN)</t>
  </si>
  <si>
    <t>V_OnePager — Gõ ProductID vào ô B3, mọi thông tin tự điền</t>
  </si>
  <si>
    <t>Chọn ProductID →</t>
  </si>
  <si>
    <t>Sản phẩm (VI)</t>
  </si>
  <si>
    <t>Shelf life</t>
  </si>
  <si>
    <t>CHỨNG NHẬN CỦA SẢN PHẨM</t>
  </si>
  <si>
    <t>Có? (X)</t>
  </si>
  <si>
    <t>V_ProductCertMatrix — Ma trận Sản phẩm × Chứng nhận (X = có)</t>
  </si>
  <si>
    <t>Product \ Cert</t>
  </si>
  <si>
    <t>90_Relationships — Bản đồ khóa PK/FK (dùng khi import vào Power BI)</t>
  </si>
  <si>
    <t>From Table</t>
  </si>
  <si>
    <t>From Column (FK)</t>
  </si>
  <si>
    <t>To Table</t>
  </si>
  <si>
    <t>To Column (PK)</t>
  </si>
  <si>
    <t>Cardinality</t>
  </si>
  <si>
    <t>RAW_Product</t>
  </si>
  <si>
    <t>RAW_Company</t>
  </si>
  <si>
    <t>Many-to-One</t>
  </si>
  <si>
    <t>BRG_Product_Certificate</t>
  </si>
  <si>
    <t>RAW_Certificate</t>
  </si>
  <si>
    <t>BRG_Product_Media</t>
  </si>
  <si>
    <t>RAW_Media</t>
  </si>
  <si>
    <t>BRG_Company_Certificate</t>
  </si>
  <si>
    <t>BRG_Company_Market</t>
  </si>
  <si>
    <t>RAW_Market</t>
  </si>
  <si>
    <t>Ghi chú: Import 6 bảng RAW + 4 bảng BRG vào Power BI (Get Data → Excel). Trong Model view, tạo relationship theo đúng bảng trên. Đặt các bảng RAW_ làm dimension, BRG_ làm bảng cầu nối, hướng lọc Single. RAW_Config để riêng (không nối).</t>
  </si>
  <si>
    <t>RAW_Model — 7 mô hình kinh doanh xuất khẩu</t>
  </si>
  <si>
    <t>PK = ModelID. Xếp theo mức dấn thân tăng dần. Sửa trực tiếp trong bảng.</t>
  </si>
  <si>
    <t>ModelID</t>
  </si>
  <si>
    <t>ModelName_VI</t>
  </si>
  <si>
    <t>ModelName_EN</t>
  </si>
  <si>
    <t>HowItWorks_VI</t>
  </si>
  <si>
    <t>CapitalRisk</t>
  </si>
  <si>
    <t>MarketControl</t>
  </si>
  <si>
    <t>Margin</t>
  </si>
  <si>
    <t>BestWhen_VI</t>
  </si>
  <si>
    <t>MOD1</t>
  </si>
  <si>
    <t>XK trực tiếp cho nhà nhập khẩu</t>
  </si>
  <si>
    <t>Direct export (FOB/CIF) to importer</t>
  </si>
  <si>
    <t>Bán thẳng cho importer/distributor nước ngoài theo FOB/CFR/CIF; họ lo thông quan &amp; phân phối.</t>
  </si>
  <si>
    <t>Thấp</t>
  </si>
  <si>
    <t>Trung bình</t>
  </si>
  <si>
    <t>Khởi đầu mọi thị trường; hàng số lượng lớn, tiêu chuẩn hóa.</t>
  </si>
  <si>
    <t>MOD2</t>
  </si>
  <si>
    <t>XK gián tiếp qua trading/broker</t>
  </si>
  <si>
    <t>Indirect export via trading/broker</t>
  </si>
  <si>
    <t>Bán qua công ty thương mại/broker; họ tìm đầu ra, ta ít tiếp xúc khách cuối.</t>
  </si>
  <si>
    <t>Rất thấp</t>
  </si>
  <si>
    <t>Xả hàng, thị trường xa/khó, thiếu nguồn lực bán hàng.</t>
  </si>
  <si>
    <t>MOD3</t>
  </si>
  <si>
    <t>Nhà phân phối/đại lý độc quyền</t>
  </si>
  <si>
    <t>Exclusive distributor / agent</t>
  </si>
  <si>
    <t>Chỉ định một đối tác bản địa độc quyền theo vùng, cam kết doanh số &amp; marketing chung.</t>
  </si>
  <si>
    <t>TB-thấp</t>
  </si>
  <si>
    <t>TB-cao</t>
  </si>
  <si>
    <t>Cần phủ kênh nhanh, xây thương hiệu khi chưa lập pháp nhân.</t>
  </si>
  <si>
    <t>MOD4</t>
  </si>
  <si>
    <t>Văn phòng đại diện (VPĐD)</t>
  </si>
  <si>
    <t>Representative office</t>
  </si>
  <si>
    <t>Hiện diện pháp lý để xúc tiến, chăm khách, QC — KHÔNG được xuất hóa đơn bán.</t>
  </si>
  <si>
    <t>Thị trường chiến lược cần cắm cờ, gần buyer lớn, hỗ trợ NPP.</t>
  </si>
  <si>
    <t>MOD5</t>
  </si>
  <si>
    <t>Công ty con + kho lạnh</t>
  </si>
  <si>
    <t>Subsidiary + cold warehouse (importer of record)</t>
  </si>
  <si>
    <t>Lập công ty tại nước NK, tự nhập khẩu, trữ kho lạnh, bán cho retail/foodservice.</t>
  </si>
  <si>
    <t>Cao</t>
  </si>
  <si>
    <t>Rất cao</t>
  </si>
  <si>
    <t>Cao nhất</t>
  </si>
  <si>
    <t>Volume đủ lớn &amp; ổn định; muốn nắm khách cuối, giá &amp; thương hiệu.</t>
  </si>
  <si>
    <t>MOD6</t>
  </si>
  <si>
    <t>Liên doanh</t>
  </si>
  <si>
    <t>Joint venture (JV)</t>
  </si>
  <si>
    <t>Góp vốn với đối tác bản địa (phân phối/chế biến), chia sẻ mạng lưới &amp; rủi ro.</t>
  </si>
  <si>
    <t>Cao (chia sẻ)</t>
  </si>
  <si>
    <t>Thị trường rào cản cao (giấy phép, quan hệ), cần nội địa hóa.</t>
  </si>
  <si>
    <t>MOD7</t>
  </si>
  <si>
    <t>Kho ngoại quan + TMĐT B2B/B2C</t>
  </si>
  <si>
    <t>Bonded/consignment hub + e-commerce</t>
  </si>
  <si>
    <t>Ký gửi hàng tại kho hub gần khách; bán qua nền tảng (Amazon, Tmall Global, sàn B2B).</t>
  </si>
  <si>
    <t>Sản phẩm đóng gói bán lẻ (chả giò); muốn test thị trường nhanh.</t>
  </si>
  <si>
    <t>RAW_BuyerCulture — Văn hóa làm việc của buyer theo quốc gia</t>
  </si>
  <si>
    <t>FK = MarketID → RAW_Market. Một dòng / thị trường. Sửa trực tiếp.</t>
  </si>
  <si>
    <t>DecisionStyle_VI</t>
  </si>
  <si>
    <t>Communication_VI</t>
  </si>
  <si>
    <t>KeyValues_VI</t>
  </si>
  <si>
    <t>PracticalTips_VI</t>
  </si>
  <si>
    <t>Dựa quan hệ (关系 guanxi) &amp; tin cậy cá nhân; gặp mặt, ăn uống trước khi chốt.</t>
  </si>
  <si>
    <t>WeChat là chuẩn; cần người nói tiếng Trung; phản hồi nhanh.</t>
  </si>
  <si>
    <t>Tốc độ giao &amp; ổn định nguồn; giá cạnh tranh.</t>
  </si>
  <si>
    <t>Đàm phán giá gắt, đơn lớn nhưng ép công nợ — kiểm soát rủi ro thanh toán (L/C, cọc).</t>
  </si>
  <si>
    <t>Thẳng thắn, dựa số liệu, quyết nhanh khi đủ dữ kiện.</t>
  </si>
  <si>
    <t>Email/họp đúng giờ, súc tích; ghét vòng vo.</t>
  </si>
  <si>
    <t>Bền vững &amp; chứng nhận (ASC, MSC, GlobalG.A.P), truy xuất minh bạch.</t>
  </si>
  <si>
    <t>Chuẩn bị hồ sơ chứng nhận đầy đủ; leverage vị trí cảng Rotterdam.</t>
  </si>
  <si>
    <t>Kỹ tính, chuộng quy trình &amp; giấy tờ; kiểm tra kỹ trước cam kết dài hạn.</t>
  </si>
  <si>
    <t>Trang trọng, chi tiết, đúng hẹn; ưu tiên văn bản.</t>
  </si>
  <si>
    <t>Chất lượng ổn định tuyệt đối; BRC/IFS, organic; trách nhiệm chuỗi cung ứng.</t>
  </si>
  <si>
    <t>Sai lệch chất lượng bị phạt nặng — kiểm soát QC. Trung thành khi đã tin tưởng.</t>
  </si>
  <si>
    <t>Thực dụng, dựa hiệu suất &amp; hợp đồng chặt; quyết nhanh.</t>
  </si>
  <si>
    <t>Trực tiếp, ngắn gọn, tập trung ROI &amp; điều khoản.</t>
  </si>
  <si>
    <t>Giá cạnh tranh, nguồn cung lớn ổn định, trách nhiệm pháp lý &amp; bảo hiểm.</t>
  </si>
  <si>
    <t>Chuẩn bị hợp đồng, bảo hiểm trách nhiệm, truy xuất. Khai thác kênh ethnic gốc Á.</t>
  </si>
  <si>
    <t>Tôn ti, quyết định tập thể; cần nhiều vòng gặp &amp; kiên nhẫn.</t>
  </si>
  <si>
    <t>Lịch sự, trang trọng; xây quan hệ trước khi bàn giá.</t>
  </si>
  <si>
    <t>Chất lượng &amp; đóng gói cực cao; ngoại hình sản phẩm; test mẫu kỹ.</t>
  </si>
  <si>
    <t>Đầu tư mẫu &amp; bao bì. Dùng ưu đãi thuế VKFTA làm lợi thế cạnh tranh.</t>
  </si>
  <si>
    <t>Dựa quan hệ &amp; uy tín cá nhân; đàm phán linh hoạt, không gấp gáp.</t>
  </si>
  <si>
    <t>Tôn trọng lễ nghi; gặp mặt quan trọng; kiên nhẫn.</t>
  </si>
  <si>
    <t>Đối tác dài hạn, đáng tin; sản phẩm HALAL đúng chuẩn.</t>
  </si>
  <si>
    <t>Lưu ý Ramadan &amp; cuối tuần T6-T7. Dùng Dubai làm bàn đạp tái xuất.</t>
  </si>
  <si>
    <t>RAW_Regulation — Luật &amp; quy định theo quốc gia</t>
  </si>
  <si>
    <t>PK = RegID ; FK = MarketID. Dùng AutoFilter/lọc theo MarketID. Sửa trực tiếp.</t>
  </si>
  <si>
    <t>RegID</t>
  </si>
  <si>
    <t>RegName</t>
  </si>
  <si>
    <t>Authority</t>
  </si>
  <si>
    <t>Requirement_VI</t>
  </si>
  <si>
    <t>Mandatory</t>
  </si>
  <si>
    <t>REG001</t>
  </si>
  <si>
    <t>Đăng ký GACC (Lệnh 248/249)</t>
  </si>
  <si>
    <t>Hải quan TQ (GACC)</t>
  </si>
  <si>
    <t>Đăng ký nhà máy &amp; mã vùng trồng; sầu riêng phải nằm trong Nghị định thư.</t>
  </si>
  <si>
    <t>Bắt buộc</t>
  </si>
  <si>
    <t>REG002</t>
  </si>
  <si>
    <t>Kiểm dịch CIQ &amp; ghi nhãn</t>
  </si>
  <si>
    <t>CIQ / GACC</t>
  </si>
  <si>
    <t>Kiểm dịch động thực vật, dán nhãn tiếng Trung, truy xuất nguồn gốc.</t>
  </si>
  <si>
    <t>REG003</t>
  </si>
  <si>
    <t>Xuất khẩu chính ngạch</t>
  </si>
  <si>
    <t>Hải quan TQ</t>
  </si>
  <si>
    <t>Đi chính ngạch có hợp đồng, hóa đơn; tránh tiểu ngạch rủi ro cao.</t>
  </si>
  <si>
    <t>Khuyến nghị</t>
  </si>
  <si>
    <t>REG004</t>
  </si>
  <si>
    <t>EU Health Certificate + Approved Establishment</t>
  </si>
  <si>
    <t>EU / NVWA</t>
  </si>
  <si>
    <t>Cơ sở nằm trong danh sách nhà máy được EU phê duyệt; chứng thư thú y/vệ sinh.</t>
  </si>
  <si>
    <t>REG005</t>
  </si>
  <si>
    <t>Chứng nhận khai thác IUU</t>
  </si>
  <si>
    <t>EU</t>
  </si>
  <si>
    <t>Thủy sản khai thác cần chứng nhận IUU; giới hạn dư lượng &amp; kháng sinh chặt.</t>
  </si>
  <si>
    <t>REG006</t>
  </si>
  <si>
    <t>Kiểm soát tại BIP &amp; EUDR</t>
  </si>
  <si>
    <t>EU / BIP</t>
  </si>
  <si>
    <t>Kiểm tra tại trạm cửa khẩu (BIP); EUDR nếu liên quan phá rừng.</t>
  </si>
  <si>
    <t>REG007</t>
  </si>
  <si>
    <t>Khung EU (Health Cert, IUU, dư lượng)</t>
  </si>
  <si>
    <t>EU / BVL</t>
  </si>
  <si>
    <t>Áp dụng toàn bộ quy định EU về ATTP thủy sản.</t>
  </si>
  <si>
    <t>REG008</t>
  </si>
  <si>
    <t>Luật chuỗi cung ứng (LkSG)</t>
  </si>
  <si>
    <t>CHLB Đức</t>
  </si>
  <si>
    <t>Nghĩa vụ thẩm định nhân quyền &amp; môi trường trong chuỗi cung ứng.</t>
  </si>
  <si>
    <t>REG009</t>
  </si>
  <si>
    <t>Tiêu chuẩn IFS Food &amp; ghi nhãn Đức</t>
  </si>
  <si>
    <t>Retail Đức</t>
  </si>
  <si>
    <t>IFS Food gần như bắt buộc với retail; nhãn tiếng Đức, thông tin dị ứng nguyên.</t>
  </si>
  <si>
    <t>Bắt buộc (retail)</t>
  </si>
  <si>
    <t>REG010</t>
  </si>
  <si>
    <t>Đăng ký cơ sở FDA + FSMA/FSVP</t>
  </si>
  <si>
    <t>US FDA</t>
  </si>
  <si>
    <t>Đăng ký cơ sở; tuân thủ FSMA/FSVP (cần US agent); HACCP thủy sản.</t>
  </si>
  <si>
    <t>REG011</t>
  </si>
  <si>
    <t>SIMP (giám sát NK thủy sản)</t>
  </si>
  <si>
    <t>NOAA/US</t>
  </si>
  <si>
    <t>Chương trình giám sát nhập khẩu với tôm &amp; một số loài; truy xuất từ khai thác/nuôi.</t>
  </si>
  <si>
    <t>Bắt buộc (tôm)</t>
  </si>
  <si>
    <t>REG012</t>
  </si>
  <si>
    <t>Thuế chống bán phá giá (AD/CVD)</t>
  </si>
  <si>
    <t>US DOC</t>
  </si>
  <si>
    <t>Tôm &amp; cá tra có nguy cơ chịu thuế AD/CVD; theo dõi kỳ rà soát POR.</t>
  </si>
  <si>
    <t>Rủi ro</t>
  </si>
  <si>
    <t>REG013</t>
  </si>
  <si>
    <t>Ghi nhãn FDA &amp; Prior Notice</t>
  </si>
  <si>
    <t>Nhãn dinh dưỡng/dị ứng nguyên; Bioterrorism prior notice trước khi hàng đến.</t>
  </si>
  <si>
    <t>REG014</t>
  </si>
  <si>
    <t>Kiểm tra nhập khẩu MFDS</t>
  </si>
  <si>
    <t>Hàn Quốc MFDS</t>
  </si>
  <si>
    <t>Kiểm vi sinh &amp; dư lượng chặt; có thể kiểm 100% lô đầu.</t>
  </si>
  <si>
    <t>REG015</t>
  </si>
  <si>
    <t>Giấy phép &amp; ghi nhãn tiếng Hàn</t>
  </si>
  <si>
    <t>MFDS</t>
  </si>
  <si>
    <t>Importer phải có giấy phép KD thực phẩm; nhãn tiếng Hàn theo quy chuẩn.</t>
  </si>
  <si>
    <t>REG016</t>
  </si>
  <si>
    <t>Ưu đãi thuế VKFTA/AKFTA</t>
  </si>
  <si>
    <t>Hải quan Hàn</t>
  </si>
  <si>
    <t>Hưởng ưu đãi thuế cần C/O form VK/AK hợp lệ.</t>
  </si>
  <si>
    <t>REG017</t>
  </si>
  <si>
    <t>Chứng nhận HALAL được UAE công nhận</t>
  </si>
  <si>
    <t>ESMA / MoIAT</t>
  </si>
  <si>
    <t>Sản phẩm phải có HALAL từ tổ chức được UAE công nhận.</t>
  </si>
  <si>
    <t>REG018</t>
  </si>
  <si>
    <t>Ghi nhãn song ngữ &amp; đăng ký sản phẩm</t>
  </si>
  <si>
    <t>Dubai Municipality</t>
  </si>
  <si>
    <t>Nhãn Ả Rập–Anh; đăng ký sản phẩm qua hệ thống (Montaji).</t>
  </si>
  <si>
    <t>REG019</t>
  </si>
  <si>
    <t>Free-zone (JAFZA) sở hữu 100%</t>
  </si>
  <si>
    <t>JAFZA</t>
  </si>
  <si>
    <t>Cho phép 100% sở hữu nước ngoài — thuận cho VPĐD/kho hub.</t>
  </si>
  <si>
    <t>Tùy chọn</t>
  </si>
  <si>
    <t>RAW_Phase — Lộ trình triển khai (chiến lược lai 4 giai đoạn)</t>
  </si>
  <si>
    <t>PK = PhaseID. Chuyển giai đoạn khi volume &amp; biên LN đủ gánh chi phí cố định. Sửa trực tiếp.</t>
  </si>
  <si>
    <t>PhaseID</t>
  </si>
  <si>
    <t>PhaseName_VI</t>
  </si>
  <si>
    <t>Timeline</t>
  </si>
  <si>
    <t>Objective_VI</t>
  </si>
  <si>
    <t>KeyActivities_VI</t>
  </si>
  <si>
    <t>ModelApplied_VI</t>
  </si>
  <si>
    <t>PH1</t>
  </si>
  <si>
    <t>Thâm nhập</t>
  </si>
  <si>
    <t>0–12 tháng</t>
  </si>
  <si>
    <t>Nhẹ vốn, tạo dòng tiền, học thị trường</t>
  </si>
  <si>
    <t>XK trực tiếp FOB/CIF cho importer đã sàng lọc; dự hội chợ (SIAL, Gulfood, Seafood Expo, CIIE); chuẩn hóa hồ sơ HACCP/BRC/GACC/HALAL/FSVP.</t>
  </si>
  <si>
    <t>XK trực tiếp + gián tiếp</t>
  </si>
  <si>
    <t>PH2</t>
  </si>
  <si>
    <t>Phủ kênh</t>
  </si>
  <si>
    <t>12–24 tháng</t>
  </si>
  <si>
    <t>Xây quan hệ độc quyền, tăng độ phủ</t>
  </si>
  <si>
    <t>Chỉ định nhà phân phối độc quyền theo vùng; KPI doanh số + đồng đầu tư marketing; đặt tồn kho lạnh ký gửi gần cụm khách.</t>
  </si>
  <si>
    <t>Nhà phân phối độc quyền + consignment</t>
  </si>
  <si>
    <t>PH3</t>
  </si>
  <si>
    <t>Cắm cờ</t>
  </si>
  <si>
    <t>24–36 tháng</t>
  </si>
  <si>
    <t>Hiện diện tại thị trường đã chứng minh</t>
  </si>
  <si>
    <t>Lập VPĐD tại 1–2 hub (Quảng Châu &amp; Rotterdam/Dubai); chăm khách lớn, QC tại chỗ; đăng ký nhãn hiệu &amp; bảo hộ IP.</t>
  </si>
  <si>
    <t>VPĐD hỗ trợ nhà phân phối</t>
  </si>
  <si>
    <t>PH4</t>
  </si>
  <si>
    <t>Nội địa hóa</t>
  </si>
  <si>
    <t>36 tháng+</t>
  </si>
  <si>
    <t>Nắm khách cuối &amp; biên lợi nhuận</t>
  </si>
  <si>
    <t>Lập công ty con + kho lạnh ở thị trường ≥1 container/tuần; tự làm importer of record, bán thẳng retail/HORECA; JV ở thị trường rào cản cao.</t>
  </si>
  <si>
    <t>Công ty con / JV</t>
  </si>
  <si>
    <t>RAW_Action — Việc cần làm 90 ngày</t>
  </si>
  <si>
    <t>PK = ActionID. Priority 1=làm trước. Sửa trực tiếp.</t>
  </si>
  <si>
    <t>ActionID</t>
  </si>
  <si>
    <t>Priority</t>
  </si>
  <si>
    <t>Title_VI</t>
  </si>
  <si>
    <t>Detail_VI</t>
  </si>
  <si>
    <t>TargetMarket_VI</t>
  </si>
  <si>
    <t>ACT1</t>
  </si>
  <si>
    <t>Khóa hồ sơ tuân thủ</t>
  </si>
  <si>
    <t>Rà soát &amp; gia hạn GACC, BRC, HALAL, FSVP agent (Mỹ), C/O form VK (Hàn) — vé vào cửa từng thị trường.</t>
  </si>
  <si>
    <t>Tất cả</t>
  </si>
  <si>
    <t>ACT2</t>
  </si>
  <si>
    <t>Sàng lọc &amp; chốt nhà phân phối</t>
  </si>
  <si>
    <t>Chọn 1 nhà phân phối độc quyền/vùng có giấy phép nhập khẩu &amp; mạng lưới sẵn, ký KPI doanh số.</t>
  </si>
  <si>
    <t>Trung Quốc, Hàn Quốc</t>
  </si>
  <si>
    <t>ACT3</t>
  </si>
  <si>
    <t>Thiết lập hub kho lạnh EU</t>
  </si>
  <si>
    <t>Đặt tồn ký gửi tại Rotterdam làm bàn đạp phủ Hà Lan–Đức, rút ngắn thời gian giao &amp; tăng tin cậy.</t>
  </si>
  <si>
    <t>Hà Lan, Đức</t>
  </si>
  <si>
    <t>BRG_Market_Model — Ma trận ưu tiên (Thị trường × Mô hình)</t>
  </si>
  <si>
    <t>FK: MarketID, ModelID. Score 3=cao/2=TB-sau/1=thấp/0=không áp dụng. Sequence ①②③ = thứ tự triển khai. KeyMM tự sinh, không sửa.</t>
  </si>
  <si>
    <t>Score</t>
  </si>
  <si>
    <t>ScoreLabel</t>
  </si>
  <si>
    <t>Sequence</t>
  </si>
  <si>
    <t>Note_VI</t>
  </si>
  <si>
    <t>KeyMM</t>
  </si>
  <si>
    <t>①</t>
  </si>
  <si>
    <t>XK chính ngạch — nền tảng</t>
  </si>
  <si>
    <t>MK001|MOD1</t>
  </si>
  <si>
    <t>TB</t>
  </si>
  <si>
    <t>Chỉ để xả hàng phụ</t>
  </si>
  <si>
    <t>MK001|MOD2</t>
  </si>
  <si>
    <t>②</t>
  </si>
  <si>
    <t>NPP độc quyền có guanxi</t>
  </si>
  <si>
    <t>MK001|MOD3</t>
  </si>
  <si>
    <t>Sau</t>
  </si>
  <si>
    <t>③</t>
  </si>
  <si>
    <t>VPĐD Quảng Châu khi ổn định</t>
  </si>
  <si>
    <t>MK001|MOD4</t>
  </si>
  <si>
    <t>Có ĐK</t>
  </si>
  <si>
    <t>Khi volume rất lớn</t>
  </si>
  <si>
    <t>MK001|MOD5</t>
  </si>
  <si>
    <t>JV vượt rào cản</t>
  </si>
  <si>
    <t>MK001|MOD6</t>
  </si>
  <si>
    <t>Tmall</t>
  </si>
  <si>
    <t>Tmall Global cho bán lẻ</t>
  </si>
  <si>
    <t>MK001|MOD7</t>
  </si>
  <si>
    <t>Distributor + FSVP agent</t>
  </si>
  <si>
    <t>MK004|MOD1</t>
  </si>
  <si>
    <t>Broker ethnic</t>
  </si>
  <si>
    <t>MK004|MOD2</t>
  </si>
  <si>
    <t>NPP vùng</t>
  </si>
  <si>
    <t>MK004|MOD3</t>
  </si>
  <si>
    <t>Chưa cần VPĐD</t>
  </si>
  <si>
    <t>MK004|MOD4</t>
  </si>
  <si>
    <t>Công ty con khi đủ volume</t>
  </si>
  <si>
    <t>MK004|MOD5</t>
  </si>
  <si>
    <t>Ít phù hợp</t>
  </si>
  <si>
    <t>MK004|MOD6</t>
  </si>
  <si>
    <t>Amazon</t>
  </si>
  <si>
    <t>Amazon cho chả giò</t>
  </si>
  <si>
    <t>MK004|MOD7</t>
  </si>
  <si>
    <t>Importer Rotterdam</t>
  </si>
  <si>
    <t>MK002|MOD1</t>
  </si>
  <si>
    <t>Không cần trung gian</t>
  </si>
  <si>
    <t>MK002|MOD2</t>
  </si>
  <si>
    <t>NPP nếu cần phủ retail</t>
  </si>
  <si>
    <t>MK002|MOD3</t>
  </si>
  <si>
    <t>Hub</t>
  </si>
  <si>
    <t>VPĐD làm hub EU</t>
  </si>
  <si>
    <t>MK002|MOD4</t>
  </si>
  <si>
    <t>Chưa cần pháp nhân</t>
  </si>
  <si>
    <t>MK002|MOD5</t>
  </si>
  <si>
    <t>–</t>
  </si>
  <si>
    <t>Không áp dụng</t>
  </si>
  <si>
    <t>MK002|MOD6</t>
  </si>
  <si>
    <t>Hub EU</t>
  </si>
  <si>
    <t>Kho ký gửi hub EU</t>
  </si>
  <si>
    <t>MK002|MOD7</t>
  </si>
  <si>
    <t>Importer/foodservice</t>
  </si>
  <si>
    <t>MK003|MOD1</t>
  </si>
  <si>
    <t>Không cần</t>
  </si>
  <si>
    <t>MK003|MOD2</t>
  </si>
  <si>
    <t>NPP retail</t>
  </si>
  <si>
    <t>MK003|MOD3</t>
  </si>
  <si>
    <t>Phủ qua hub NL</t>
  </si>
  <si>
    <t>MK003|MOD4</t>
  </si>
  <si>
    <t>MK003|MOD5</t>
  </si>
  <si>
    <t>MK003|MOD6</t>
  </si>
  <si>
    <t>Qua NL</t>
  </si>
  <si>
    <t>Qua hub Hà Lan</t>
  </si>
  <si>
    <t>MK003|MOD7</t>
  </si>
  <si>
    <t>Importer trực tiếp</t>
  </si>
  <si>
    <t>MK005|MOD1</t>
  </si>
  <si>
    <t>Ít dùng</t>
  </si>
  <si>
    <t>MK005|MOD2</t>
  </si>
  <si>
    <t>NPP bản địa nắm giấy phép</t>
  </si>
  <si>
    <t>MK005|MOD3</t>
  </si>
  <si>
    <t>Chưa cần</t>
  </si>
  <si>
    <t>MK005|MOD4</t>
  </si>
  <si>
    <t>Rào cản cao</t>
  </si>
  <si>
    <t>MK005|MOD5</t>
  </si>
  <si>
    <t>Nếu mở rộng</t>
  </si>
  <si>
    <t>JV khi scale</t>
  </si>
  <si>
    <t>MK005|MOD6</t>
  </si>
  <si>
    <t>MK005|MOD7</t>
  </si>
  <si>
    <t>Importer Dubai HALAL</t>
  </si>
  <si>
    <t>MK006|MOD1</t>
  </si>
  <si>
    <t>Broker khu vực</t>
  </si>
  <si>
    <t>MK006|MOD2</t>
  </si>
  <si>
    <t>NPP HORECA</t>
  </si>
  <si>
    <t>MK006|MOD3</t>
  </si>
  <si>
    <t>Free-zone hub tái xuất</t>
  </si>
  <si>
    <t>MK006|MOD4</t>
  </si>
  <si>
    <t>MK006|MOD5</t>
  </si>
  <si>
    <t>MK006|MOD6</t>
  </si>
  <si>
    <t>HORECA</t>
  </si>
  <si>
    <t>E-dist cho HORECA</t>
  </si>
  <si>
    <t>MK006|MOD7</t>
  </si>
  <si>
    <t>V_PriorityMatrix — MASTER (tự tổng hợp từ BRG_Market_Model)</t>
  </si>
  <si>
    <t>Mỗi ô = nhãn điểm + thứ tự triển khai (①②③). KHÔNG sửa tay — chỉnh ở BRG/RAW.</t>
  </si>
  <si>
    <t>Thị trường \ Mô hình</t>
  </si>
  <si>
    <t>XK trực tiếp</t>
  </si>
  <si>
    <t>XK gián tiếp</t>
  </si>
  <si>
    <t>NPP độc quyền</t>
  </si>
  <si>
    <t>VPĐD</t>
  </si>
  <si>
    <t>Công ty con+kho</t>
  </si>
  <si>
    <t>Kho NQ/TMĐT</t>
  </si>
  <si>
    <t>Ưu tiên tổng</t>
  </si>
  <si>
    <t>(vùng phụ trợ — không xóa)</t>
  </si>
  <si>
    <t>Chú giải:</t>
  </si>
  <si>
    <t>3=Ưu tiên cao/làm ngay</t>
  </si>
  <si>
    <t>2=Giai đoạn sau/có điều kiện</t>
  </si>
  <si>
    <t>1=Ít phù hợp</t>
  </si>
  <si>
    <t>0 / – =Không áp dụng</t>
  </si>
  <si>
    <t>V_MarketStrategy — MASTER (tự tổng hợp từ RAW_Market + RAW_BuyerCulture)</t>
  </si>
  <si>
    <t>KHÔNG sửa tay — chỉnh dữ liệu ở RAW_Market / RAW_BuyerCulture.</t>
  </si>
  <si>
    <t>Hạng</t>
  </si>
  <si>
    <t>Thị trường</t>
  </si>
  <si>
    <t>Quốc gia</t>
  </si>
  <si>
    <t>Thị phần</t>
  </si>
  <si>
    <t>Mô hình đề xuất</t>
  </si>
  <si>
    <t>Phong cách quyết định</t>
  </si>
  <si>
    <t>Giá trị buyer coi trọng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</si>
</sst>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000000"/>
      <name val="Arial"/>
    </font>
    <font>
      <b/>
      <sz val="11"/>
      <color rgb="FF1F6F5C"/>
      <name val="Arial"/>
    </font>
    <font>
      <i/>
      <sz val="9"/>
      <color rgb="FF555555"/>
      <name val="Arial"/>
    </font>
    <font>
      <b/>
      <sz val="10"/>
      <color rgb="FFFFFF0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0000"/>
      <name val="Arial"/>
    </font>
    <font>
      <sz val="10"/>
      <color rgb="FF16302F"/>
      <name val="Arial"/>
    </font>
    <font>
      <b/>
      <sz val="14"/>
      <color rgb="FF0E5C63"/>
      <name val="Arial"/>
    </font>
    <font>
      <i/>
      <sz val="9"/>
      <color rgb="FF6B7E7B"/>
      <name val="Arial"/>
    </font>
    <font>
      <sz val="9"/>
      <color rgb="FF9AA6A3"/>
      <name val="Arial"/>
    </font>
    <font>
      <b/>
      <sz val="10"/>
      <color rgb="FF16302F"/>
      <name val="Arial"/>
    </font>
    <font>
      <b/>
      <sz val="11"/>
      <color rgb="FFC6892B"/>
      <name val="Arial"/>
    </font>
    <font>
      <i/>
      <sz val="8"/>
      <color rgb="FF9AA6A3"/>
      <name val="Arial"/>
    </font>
    <font>
      <sz val="8"/>
      <color rgb="FF9AA6A3"/>
      <name val="Arial"/>
    </font>
    <font>
      <b/>
      <sz val="9"/>
      <color rgb="FF16302F"/>
      <name val="Arial"/>
    </font>
    <font>
      <sz val="9"/>
      <color rgb="FF2F7D52"/>
      <name val="Arial"/>
    </font>
    <font>
      <sz val="9"/>
      <color rgb="FF9A6320"/>
      <name val="Arial"/>
    </font>
    <font>
      <sz val="9"/>
      <color rgb="FFB24232"/>
      <name val="Arial"/>
    </font>
    <font>
      <sz val="9"/>
      <color rgb="FF6B7E7B"/>
      <name val="Arial"/>
    </font>
    <font>
      <sz val="10"/>
      <color rgb="FF3E5654"/>
      <name val="Arial"/>
    </font>
  </fonts>
  <fills count="15">
    <fill>
      <patternFill patternType="none"/>
    </fill>
    <fill>
      <patternFill patternType="gray125"/>
    </fill>
    <fill>
      <patternFill patternType="solid">
        <fgColor rgb="FF0B3D2E"/>
      </patternFill>
    </fill>
    <fill>
      <patternFill patternType="solid">
        <fgColor rgb="FF125A48"/>
      </patternFill>
    </fill>
    <fill>
      <patternFill patternType="solid">
        <fgColor rgb="FF1F6F5C"/>
      </patternFill>
    </fill>
    <fill>
      <patternFill patternType="solid">
        <fgColor rgb="FFFFF9C4"/>
      </patternFill>
    </fill>
    <fill>
      <patternFill patternType="solid">
        <fgColor rgb="FFEAF3F0"/>
      </patternFill>
    </fill>
    <fill>
      <patternFill patternType="solid">
        <fgColor rgb="FFC6892B"/>
      </patternFill>
    </fill>
    <fill>
      <patternFill patternType="solid">
        <fgColor rgb="FFFFFDF5"/>
      </patternFill>
    </fill>
    <fill>
      <patternFill patternType="solid">
        <fgColor rgb="FF0E5C63"/>
      </patternFill>
    </fill>
    <fill>
      <patternFill patternType="solid">
        <fgColor rgb="FFEFEBE0"/>
      </patternFill>
    </fill>
    <fill>
      <patternFill patternType="solid">
        <fgColor rgb="FFE1EDEC"/>
      </patternFill>
    </fill>
    <fill>
      <patternFill patternType="solid">
        <fgColor rgb="FFDDEBE0"/>
      </patternFill>
    </fill>
    <fill>
      <patternFill patternType="solid">
        <fgColor rgb="FFF3E6CE"/>
      </patternFill>
    </fill>
    <fill>
      <patternFill patternType="solid">
        <fgColor rgb="FFF1DDD6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top" wrapText="1"/>
    </xf>
    <xf numFmtId="9" fontId="7" fillId="5" borderId="1" xfId="0" applyNumberFormat="1" applyFont="1" applyFill="1" applyBorder="1" applyAlignment="1">
      <alignment vertical="top" wrapText="1"/>
    </xf>
    <xf numFmtId="0" fontId="6" fillId="4" borderId="1" xfId="0" applyFont="1" applyFill="1" applyBorder="1"/>
    <xf numFmtId="0" fontId="8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22" fillId="0" borderId="0" xfId="0" applyFont="1" applyAlignment="1">
      <alignment vertical="top" wrapText="1"/>
    </xf>
    <xf numFmtId="0" fontId="6" fillId="7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center" vertical="top"/>
    </xf>
    <xf numFmtId="0" fontId="9" fillId="8" borderId="2" xfId="0" applyFont="1" applyFill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6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top"/>
    </xf>
    <xf numFmtId="0" fontId="12" fillId="10" borderId="2" xfId="0" applyFont="1" applyFill="1" applyBorder="1" applyAlignment="1">
      <alignment horizontal="left" vertical="top"/>
    </xf>
    <xf numFmtId="0" fontId="13" fillId="11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8" fillId="12" borderId="0" xfId="0" applyFont="1" applyFill="1"/>
    <xf numFmtId="0" fontId="19" fillId="13" borderId="0" xfId="0" applyFont="1" applyFill="1"/>
    <xf numFmtId="0" fontId="20" fillId="14" borderId="0" xfId="0" applyFont="1" applyFill="1"/>
    <xf numFmtId="0" fontId="21" fillId="10" borderId="0" xfId="0" applyFont="1" applyFill="1"/>
    <xf numFmtId="0" fontId="14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left" vertical="top"/>
    </xf>
    <xf numFmtId="9" fontId="9" fillId="0" borderId="2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_Company" displayName="RAW_Company" ref="A3:R4">
  <autoFilter ref="A3:R4" xr:uid="{00000000-0009-0000-0100-000001000000}"/>
  <tableColumns count="18">
    <tableColumn id="1" xr3:uid="{00000000-0010-0000-0000-000001000000}" name="CompanyID"/>
    <tableColumn id="2" xr3:uid="{00000000-0010-0000-0000-000002000000}" name="CompanyName_VI"/>
    <tableColumn id="3" xr3:uid="{00000000-0010-0000-0000-000003000000}" name="CompanyName_EN"/>
    <tableColumn id="4" xr3:uid="{00000000-0010-0000-0000-000004000000}" name="FoundedYear"/>
    <tableColumn id="5" xr3:uid="{00000000-0010-0000-0000-000005000000}" name="Address_HQ"/>
    <tableColumn id="6" xr3:uid="{00000000-0010-0000-0000-000006000000}" name="Address_Factory"/>
    <tableColumn id="7" xr3:uid="{00000000-0010-0000-0000-000007000000}" name="RawMaterialZone"/>
    <tableColumn id="8" xr3:uid="{00000000-0010-0000-0000-000008000000}" name="Email"/>
    <tableColumn id="9" xr3:uid="{00000000-0010-0000-0000-000009000000}" name="Phone"/>
    <tableColumn id="10" xr3:uid="{00000000-0010-0000-0000-00000A000000}" name="WeChat"/>
    <tableColumn id="11" xr3:uid="{00000000-0010-0000-0000-00000B000000}" name="Zalo"/>
    <tableColumn id="12" xr3:uid="{00000000-0010-0000-0000-00000C000000}" name="Website"/>
    <tableColumn id="13" xr3:uid="{00000000-0010-0000-0000-00000D000000}" name="Vision"/>
    <tableColumn id="14" xr3:uid="{00000000-0010-0000-0000-00000E000000}" name="Mission"/>
    <tableColumn id="15" xr3:uid="{00000000-0010-0000-0000-00000F000000}" name="CoreValues"/>
    <tableColumn id="16" xr3:uid="{00000000-0010-0000-0000-000010000000}" name="CompetitiveEdge"/>
    <tableColumn id="17" xr3:uid="{00000000-0010-0000-0000-000011000000}" name="ProductionCapacity"/>
    <tableColumn id="18" xr3:uid="{00000000-0010-0000-0000-000012000000}" name="Achieve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_Product" displayName="RAW_Product" ref="A3:L6">
  <autoFilter ref="A3:L6" xr:uid="{00000000-0009-0000-0100-000002000000}"/>
  <tableColumns count="12">
    <tableColumn id="1" xr3:uid="{00000000-0010-0000-0100-000001000000}" name="ProductID"/>
    <tableColumn id="2" xr3:uid="{00000000-0010-0000-0100-000002000000}" name="CompanyID"/>
    <tableColumn id="3" xr3:uid="{00000000-0010-0000-0100-000003000000}" name="Name_VI"/>
    <tableColumn id="4" xr3:uid="{00000000-0010-0000-0100-000004000000}" name="Name_EN"/>
    <tableColumn id="5" xr3:uid="{00000000-0010-0000-0100-000005000000}" name="HSCode"/>
    <tableColumn id="6" xr3:uid="{00000000-0010-0000-0100-000006000000}" name="Size"/>
    <tableColumn id="7" xr3:uid="{00000000-0010-0000-0100-000007000000}" name="Packing"/>
    <tableColumn id="8" xr3:uid="{00000000-0010-0000-0100-000008000000}" name="ShelfLife"/>
    <tableColumn id="9" xr3:uid="{00000000-0010-0000-0100-000009000000}" name="Temperature"/>
    <tableColumn id="10" xr3:uid="{00000000-0010-0000-0100-00000A000000}" name="MOQ"/>
    <tableColumn id="11" xr3:uid="{00000000-0010-0000-0100-00000B000000}" name="MonthlyCapacity"/>
    <tableColumn id="12" xr3:uid="{00000000-0010-0000-0100-00000C000000}" name="US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_Certificate" displayName="RAW_Certificate" ref="A3:F11">
  <autoFilter ref="A3:F11" xr:uid="{00000000-0009-0000-0100-000003000000}"/>
  <tableColumns count="6">
    <tableColumn id="1" xr3:uid="{00000000-0010-0000-0200-000001000000}" name="CertID"/>
    <tableColumn id="2" xr3:uid="{00000000-0010-0000-0200-000002000000}" name="CertName"/>
    <tableColumn id="3" xr3:uid="{00000000-0010-0000-0200-000003000000}" name="IssuedBy"/>
    <tableColumn id="4" xr3:uid="{00000000-0010-0000-0200-000004000000}" name="Scope"/>
    <tableColumn id="5" xr3:uid="{00000000-0010-0000-0200-000005000000}" name="FileLink"/>
    <tableColumn id="6" xr3:uid="{00000000-0010-0000-0200-000006000000}" name="Expiry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_Media" displayName="RAW_Media" ref="A3:E9">
  <autoFilter ref="A3:E9" xr:uid="{00000000-0009-0000-0100-000004000000}"/>
  <tableColumns count="5">
    <tableColumn id="1" xr3:uid="{00000000-0010-0000-0300-000001000000}" name="MediaID"/>
    <tableColumn id="2" xr3:uid="{00000000-0010-0000-0300-000002000000}" name="MediaType"/>
    <tableColumn id="3" xr3:uid="{00000000-0010-0000-0300-000003000000}" name="Title"/>
    <tableColumn id="4" xr3:uid="{00000000-0010-0000-0300-000004000000}" name="FileLink"/>
    <tableColumn id="5" xr3:uid="{00000000-0010-0000-0300-000005000000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W_Market" displayName="RAW_Market" ref="A3:F9">
  <autoFilter ref="A3:F9" xr:uid="{00000000-0009-0000-0100-000005000000}"/>
  <tableColumns count="6">
    <tableColumn id="1" xr3:uid="{00000000-0010-0000-0400-000001000000}" name="MarketID"/>
    <tableColumn id="2" xr3:uid="{00000000-0010-0000-0400-000002000000}" name="MarketName"/>
    <tableColumn id="3" xr3:uid="{00000000-0010-0000-0400-000003000000}" name="Country"/>
    <tableColumn id="4" xr3:uid="{00000000-0010-0000-0400-000004000000}" name="Language"/>
    <tableColumn id="5" xr3:uid="{00000000-0010-0000-0400-000005000000}" name="SharePercent"/>
    <tableColumn id="6" xr3:uid="{00000000-0010-0000-0400-000006000000}" name="Chann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AW_Config" displayName="RAW_Config" ref="A3:C10">
  <autoFilter ref="A3:C10" xr:uid="{00000000-0009-0000-0100-000006000000}"/>
  <tableColumns count="3">
    <tableColumn id="1" xr3:uid="{00000000-0010-0000-0500-000001000000}" name="ConfigKey"/>
    <tableColumn id="2" xr3:uid="{00000000-0010-0000-0500-000002000000}" name="ConfigValue"/>
    <tableColumn id="3" xr3:uid="{00000000-0010-0000-0500-000003000000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RG_Product_Certificate" displayName="BRG_Product_Certificate" ref="A3:C16">
  <autoFilter ref="A3:C16" xr:uid="{00000000-0009-0000-0100-000007000000}"/>
  <tableColumns count="3">
    <tableColumn id="1" xr3:uid="{00000000-0010-0000-0600-000001000000}" name="LinkID"/>
    <tableColumn id="2" xr3:uid="{00000000-0010-0000-0600-000002000000}" name="ProductID"/>
    <tableColumn id="3" xr3:uid="{00000000-0010-0000-0600-000003000000}" name="Cert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RG_Product_Media" displayName="BRG_Product_Media" ref="A3:C6">
  <autoFilter ref="A3:C6" xr:uid="{00000000-0009-0000-0100-000008000000}"/>
  <tableColumns count="3">
    <tableColumn id="1" xr3:uid="{00000000-0010-0000-0700-000001000000}" name="LinkID"/>
    <tableColumn id="2" xr3:uid="{00000000-0010-0000-0700-000002000000}" name="ProductID"/>
    <tableColumn id="3" xr3:uid="{00000000-0010-0000-0700-000003000000}" name="Media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RG_Company_Certificate" displayName="BRG_Company_Certificate" ref="A3:C11">
  <autoFilter ref="A3:C11" xr:uid="{00000000-0009-0000-0100-000009000000}"/>
  <tableColumns count="3">
    <tableColumn id="1" xr3:uid="{00000000-0010-0000-0800-000001000000}" name="LinkID"/>
    <tableColumn id="2" xr3:uid="{00000000-0010-0000-0800-000002000000}" name="CompanyID"/>
    <tableColumn id="3" xr3:uid="{00000000-0010-0000-0800-000003000000}" name="Cert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RG_Company_Market" displayName="BRG_Company_Market" ref="A3:C9">
  <autoFilter ref="A3:C9" xr:uid="{00000000-0009-0000-0100-00000A000000}"/>
  <tableColumns count="3">
    <tableColumn id="1" xr3:uid="{00000000-0010-0000-0900-000001000000}" name="LinkID"/>
    <tableColumn id="2" xr3:uid="{00000000-0010-0000-0900-000002000000}" name="CompanyID"/>
    <tableColumn id="3" xr3:uid="{00000000-0010-0000-0900-000003000000}" name="Market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sqref="A1:F1"/>
    </sheetView>
  </sheetViews>
  <sheetFormatPr defaultRowHeight="14.25" x14ac:dyDescent="0.45"/>
  <cols>
    <col min="1" max="1" width="95" customWidth="1"/>
  </cols>
  <sheetData>
    <row r="1" spans="1:6" ht="26" customHeight="1" x14ac:dyDescent="0.45">
      <c r="A1" s="38" t="s">
        <v>0</v>
      </c>
      <c r="B1" s="39"/>
      <c r="C1" s="39"/>
      <c r="D1" s="39"/>
      <c r="E1" s="39"/>
      <c r="F1" s="39"/>
    </row>
    <row r="3" spans="1:6" x14ac:dyDescent="0.45">
      <c r="A3" s="1"/>
    </row>
    <row r="4" spans="1:6" x14ac:dyDescent="0.45">
      <c r="A4" s="2" t="s">
        <v>1</v>
      </c>
    </row>
    <row r="5" spans="1:6" x14ac:dyDescent="0.45">
      <c r="A5" s="1" t="s">
        <v>2</v>
      </c>
    </row>
    <row r="6" spans="1:6" x14ac:dyDescent="0.45">
      <c r="A6" s="1" t="s">
        <v>3</v>
      </c>
    </row>
    <row r="7" spans="1:6" x14ac:dyDescent="0.45">
      <c r="A7" s="1" t="s">
        <v>4</v>
      </c>
    </row>
    <row r="8" spans="1:6" x14ac:dyDescent="0.45">
      <c r="A8" s="1" t="s">
        <v>5</v>
      </c>
    </row>
    <row r="9" spans="1:6" x14ac:dyDescent="0.45">
      <c r="A9" s="1" t="s">
        <v>6</v>
      </c>
    </row>
    <row r="10" spans="1:6" x14ac:dyDescent="0.45">
      <c r="A10" s="1"/>
    </row>
    <row r="11" spans="1:6" x14ac:dyDescent="0.45">
      <c r="A11" s="2" t="s">
        <v>7</v>
      </c>
    </row>
    <row r="12" spans="1:6" x14ac:dyDescent="0.45">
      <c r="A12" s="1" t="s">
        <v>8</v>
      </c>
    </row>
    <row r="13" spans="1:6" x14ac:dyDescent="0.45">
      <c r="A13" s="1" t="s">
        <v>9</v>
      </c>
    </row>
    <row r="14" spans="1:6" x14ac:dyDescent="0.45">
      <c r="A14" s="1" t="s">
        <v>10</v>
      </c>
    </row>
    <row r="15" spans="1:6" x14ac:dyDescent="0.45">
      <c r="A15" s="1"/>
    </row>
    <row r="16" spans="1:6" x14ac:dyDescent="0.45">
      <c r="A16" s="2" t="s">
        <v>11</v>
      </c>
    </row>
    <row r="17" spans="1:2" x14ac:dyDescent="0.45">
      <c r="A17" s="1" t="s">
        <v>12</v>
      </c>
    </row>
    <row r="18" spans="1:2" x14ac:dyDescent="0.45">
      <c r="A18" s="1"/>
    </row>
    <row r="19" spans="1:2" x14ac:dyDescent="0.45">
      <c r="A19" s="2" t="s">
        <v>13</v>
      </c>
    </row>
    <row r="20" spans="1:2" x14ac:dyDescent="0.45">
      <c r="A20" s="1" t="s">
        <v>14</v>
      </c>
    </row>
    <row r="21" spans="1:2" x14ac:dyDescent="0.45">
      <c r="A21" s="1" t="s">
        <v>15</v>
      </c>
    </row>
    <row r="22" spans="1:2" x14ac:dyDescent="0.45">
      <c r="A22" s="1" t="s">
        <v>16</v>
      </c>
    </row>
    <row r="23" spans="1:2" x14ac:dyDescent="0.45">
      <c r="A23" s="1" t="s">
        <v>17</v>
      </c>
    </row>
    <row r="25" spans="1:2" x14ac:dyDescent="0.45">
      <c r="A25" s="13" t="s">
        <v>18</v>
      </c>
    </row>
    <row r="26" spans="1:2" ht="51" x14ac:dyDescent="0.45">
      <c r="A26" s="14" t="s">
        <v>19</v>
      </c>
      <c r="B26" s="15" t="s">
        <v>20</v>
      </c>
    </row>
    <row r="27" spans="1:2" ht="114.75" x14ac:dyDescent="0.45">
      <c r="A27" s="14" t="s">
        <v>21</v>
      </c>
      <c r="B27" s="15" t="s">
        <v>22</v>
      </c>
    </row>
    <row r="28" spans="1:2" ht="51" x14ac:dyDescent="0.45">
      <c r="A28" s="14" t="s">
        <v>23</v>
      </c>
      <c r="B28" s="15" t="s">
        <v>24</v>
      </c>
    </row>
    <row r="29" spans="1:2" ht="102" x14ac:dyDescent="0.45">
      <c r="A29" s="14" t="s">
        <v>25</v>
      </c>
      <c r="B29" s="15" t="s">
        <v>26</v>
      </c>
    </row>
    <row r="30" spans="1:2" ht="38.25" x14ac:dyDescent="0.45">
      <c r="A30" s="14" t="s">
        <v>27</v>
      </c>
      <c r="B30" s="15" t="s">
        <v>28</v>
      </c>
    </row>
    <row r="31" spans="1:2" ht="25.5" x14ac:dyDescent="0.45">
      <c r="A31" s="14" t="s">
        <v>29</v>
      </c>
      <c r="B31" s="15" t="s">
        <v>30</v>
      </c>
    </row>
    <row r="32" spans="1:2" ht="63.75" x14ac:dyDescent="0.45">
      <c r="A32" s="14" t="s">
        <v>31</v>
      </c>
      <c r="B32" s="15" t="s">
        <v>32</v>
      </c>
    </row>
    <row r="33" spans="1:2" ht="89.25" x14ac:dyDescent="0.45">
      <c r="A33" s="14" t="s">
        <v>33</v>
      </c>
      <c r="B33" s="15" t="s">
        <v>34</v>
      </c>
    </row>
    <row r="34" spans="1:2" ht="89.25" x14ac:dyDescent="0.45">
      <c r="A34" s="14" t="s">
        <v>35</v>
      </c>
      <c r="B34" s="15" t="s">
        <v>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showGridLines="0" workbookViewId="0"/>
  </sheetViews>
  <sheetFormatPr defaultRowHeight="14.25" x14ac:dyDescent="0.45"/>
  <cols>
    <col min="1" max="1" width="10" customWidth="1"/>
    <col min="2" max="2" width="34" customWidth="1"/>
    <col min="3" max="3" width="30" customWidth="1"/>
    <col min="4" max="4" width="11" customWidth="1"/>
    <col min="5" max="6" width="32" customWidth="1"/>
    <col min="7" max="7" width="40" customWidth="1"/>
    <col min="8" max="8" width="26" customWidth="1"/>
    <col min="9" max="9" width="16" customWidth="1"/>
    <col min="10" max="10" width="18" customWidth="1"/>
    <col min="11" max="11" width="14" customWidth="1"/>
    <col min="12" max="12" width="26" customWidth="1"/>
    <col min="13" max="14" width="40" customWidth="1"/>
    <col min="15" max="15" width="34" customWidth="1"/>
    <col min="16" max="16" width="48" customWidth="1"/>
    <col min="17" max="17" width="40" customWidth="1"/>
    <col min="18" max="18" width="44" customWidth="1"/>
  </cols>
  <sheetData>
    <row r="1" spans="1:18" ht="26" customHeight="1" x14ac:dyDescent="0.45">
      <c r="A1" s="38" t="s">
        <v>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x14ac:dyDescent="0.45">
      <c r="A2" s="40" t="s">
        <v>38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26.25" x14ac:dyDescent="0.45">
      <c r="A3" s="3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  <c r="O3" s="4" t="s">
        <v>53</v>
      </c>
      <c r="P3" s="4" t="s">
        <v>54</v>
      </c>
      <c r="Q3" s="4" t="s">
        <v>55</v>
      </c>
      <c r="R3" s="4" t="s">
        <v>56</v>
      </c>
    </row>
    <row r="4" spans="1:18" ht="51" x14ac:dyDescent="0.45">
      <c r="A4" s="5" t="s">
        <v>57</v>
      </c>
      <c r="B4" s="5" t="s">
        <v>58</v>
      </c>
      <c r="C4" s="5" t="s">
        <v>59</v>
      </c>
      <c r="D4" s="5">
        <v>2015</v>
      </c>
      <c r="E4" s="5" t="s">
        <v>60</v>
      </c>
      <c r="F4" s="5" t="s">
        <v>61</v>
      </c>
      <c r="G4" s="5" t="s">
        <v>62</v>
      </c>
      <c r="H4" s="5" t="s">
        <v>63</v>
      </c>
      <c r="I4" s="5" t="s">
        <v>64</v>
      </c>
      <c r="J4" s="5" t="s">
        <v>65</v>
      </c>
      <c r="K4" s="5" t="s">
        <v>66</v>
      </c>
      <c r="L4" s="5" t="s">
        <v>67</v>
      </c>
      <c r="M4" s="5" t="s">
        <v>68</v>
      </c>
      <c r="N4" s="5" t="s">
        <v>69</v>
      </c>
      <c r="O4" s="5" t="s">
        <v>70</v>
      </c>
      <c r="P4" s="5" t="s">
        <v>71</v>
      </c>
      <c r="Q4" s="5" t="s">
        <v>72</v>
      </c>
      <c r="R4" s="5" t="s">
        <v>73</v>
      </c>
    </row>
  </sheetData>
  <mergeCells count="2">
    <mergeCell ref="A2:R2"/>
    <mergeCell ref="A1:R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showGridLines="0" workbookViewId="0"/>
  </sheetViews>
  <sheetFormatPr defaultRowHeight="14.25" x14ac:dyDescent="0.45"/>
  <cols>
    <col min="1" max="1" width="10" customWidth="1"/>
    <col min="2" max="2" width="11" customWidth="1"/>
    <col min="3" max="4" width="30" customWidth="1"/>
    <col min="5" max="5" width="12" customWidth="1"/>
    <col min="6" max="6" width="26" customWidth="1"/>
    <col min="7" max="7" width="28" customWidth="1"/>
    <col min="8" max="8" width="11" customWidth="1"/>
    <col min="9" max="9" width="12" customWidth="1"/>
    <col min="10" max="11" width="16" customWidth="1"/>
    <col min="12" max="12" width="50" customWidth="1"/>
  </cols>
  <sheetData>
    <row r="1" spans="1:12" ht="26" customHeight="1" x14ac:dyDescent="0.45">
      <c r="A1" s="38" t="s">
        <v>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45">
      <c r="A2" s="40" t="s">
        <v>75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26.25" x14ac:dyDescent="0.45">
      <c r="A3" s="3" t="s">
        <v>76</v>
      </c>
      <c r="B3" s="3" t="s">
        <v>39</v>
      </c>
      <c r="C3" s="4" t="s">
        <v>77</v>
      </c>
      <c r="D3" s="4" t="s">
        <v>78</v>
      </c>
      <c r="E3" s="4" t="s">
        <v>79</v>
      </c>
      <c r="F3" s="4" t="s">
        <v>80</v>
      </c>
      <c r="G3" s="4" t="s">
        <v>81</v>
      </c>
      <c r="H3" s="4" t="s">
        <v>82</v>
      </c>
      <c r="I3" s="4" t="s">
        <v>83</v>
      </c>
      <c r="J3" s="4" t="s">
        <v>84</v>
      </c>
      <c r="K3" s="4" t="s">
        <v>85</v>
      </c>
      <c r="L3" s="4" t="s">
        <v>86</v>
      </c>
    </row>
    <row r="4" spans="1:12" ht="25.5" x14ac:dyDescent="0.45">
      <c r="A4" s="5" t="s">
        <v>87</v>
      </c>
      <c r="B4" s="5" t="s">
        <v>57</v>
      </c>
      <c r="C4" s="5" t="s">
        <v>88</v>
      </c>
      <c r="D4" s="5" t="s">
        <v>89</v>
      </c>
      <c r="E4" s="5" t="s">
        <v>90</v>
      </c>
      <c r="F4" s="5" t="s">
        <v>91</v>
      </c>
      <c r="G4" s="5" t="s">
        <v>92</v>
      </c>
      <c r="H4" s="5" t="s">
        <v>93</v>
      </c>
      <c r="I4" s="5" t="s">
        <v>94</v>
      </c>
      <c r="J4" s="5" t="s">
        <v>95</v>
      </c>
      <c r="K4" s="5" t="s">
        <v>96</v>
      </c>
      <c r="L4" s="5" t="s">
        <v>97</v>
      </c>
    </row>
    <row r="5" spans="1:12" ht="25.5" x14ac:dyDescent="0.45">
      <c r="A5" s="5" t="s">
        <v>98</v>
      </c>
      <c r="B5" s="5" t="s">
        <v>57</v>
      </c>
      <c r="C5" s="5" t="s">
        <v>99</v>
      </c>
      <c r="D5" s="5" t="s">
        <v>100</v>
      </c>
      <c r="E5" s="5" t="s">
        <v>101</v>
      </c>
      <c r="F5" s="5" t="s">
        <v>102</v>
      </c>
      <c r="G5" s="5" t="s">
        <v>103</v>
      </c>
      <c r="H5" s="5" t="s">
        <v>93</v>
      </c>
      <c r="I5" s="5" t="s">
        <v>94</v>
      </c>
      <c r="J5" s="5" t="s">
        <v>104</v>
      </c>
      <c r="K5" s="5" t="s">
        <v>105</v>
      </c>
      <c r="L5" s="5" t="s">
        <v>106</v>
      </c>
    </row>
    <row r="6" spans="1:12" ht="25.5" x14ac:dyDescent="0.45">
      <c r="A6" s="5" t="s">
        <v>107</v>
      </c>
      <c r="B6" s="5" t="s">
        <v>57</v>
      </c>
      <c r="C6" s="5" t="s">
        <v>108</v>
      </c>
      <c r="D6" s="5" t="s">
        <v>109</v>
      </c>
      <c r="E6" s="5" t="s">
        <v>110</v>
      </c>
      <c r="F6" s="5" t="s">
        <v>111</v>
      </c>
      <c r="G6" s="5" t="s">
        <v>112</v>
      </c>
      <c r="H6" s="5" t="s">
        <v>93</v>
      </c>
      <c r="I6" s="5" t="s">
        <v>94</v>
      </c>
      <c r="J6" s="5" t="s">
        <v>104</v>
      </c>
      <c r="K6" s="5" t="s">
        <v>113</v>
      </c>
      <c r="L6" s="5" t="s">
        <v>114</v>
      </c>
    </row>
  </sheetData>
  <mergeCells count="2">
    <mergeCell ref="A2:L2"/>
    <mergeCell ref="A1:L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/>
  </sheetViews>
  <sheetFormatPr defaultRowHeight="14.25" x14ac:dyDescent="0.45"/>
  <cols>
    <col min="1" max="1" width="10" customWidth="1"/>
    <col min="2" max="2" width="34" customWidth="1"/>
    <col min="3" max="4" width="26" customWidth="1"/>
    <col min="5" max="5" width="16" customWidth="1"/>
    <col min="6" max="6" width="14" customWidth="1"/>
  </cols>
  <sheetData>
    <row r="1" spans="1:6" ht="26" customHeight="1" x14ac:dyDescent="0.45">
      <c r="A1" s="38" t="s">
        <v>115</v>
      </c>
      <c r="B1" s="39"/>
      <c r="C1" s="39"/>
      <c r="D1" s="39"/>
      <c r="E1" s="39"/>
      <c r="F1" s="39"/>
    </row>
    <row r="2" spans="1:6" x14ac:dyDescent="0.45">
      <c r="A2" s="40" t="s">
        <v>116</v>
      </c>
      <c r="B2" s="39"/>
      <c r="C2" s="39"/>
      <c r="D2" s="39"/>
      <c r="E2" s="39"/>
      <c r="F2" s="39"/>
    </row>
    <row r="3" spans="1:6" x14ac:dyDescent="0.45">
      <c r="A3" s="3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4" t="s">
        <v>122</v>
      </c>
    </row>
    <row r="4" spans="1:6" x14ac:dyDescent="0.45">
      <c r="A4" s="5" t="s">
        <v>123</v>
      </c>
      <c r="B4" s="5" t="s">
        <v>124</v>
      </c>
      <c r="C4" s="5" t="s">
        <v>125</v>
      </c>
      <c r="D4" s="5" t="s">
        <v>126</v>
      </c>
      <c r="E4" s="5" t="s">
        <v>127</v>
      </c>
      <c r="F4" s="5" t="s">
        <v>128</v>
      </c>
    </row>
    <row r="5" spans="1:6" x14ac:dyDescent="0.45">
      <c r="A5" s="5" t="s">
        <v>129</v>
      </c>
      <c r="B5" s="5" t="s">
        <v>130</v>
      </c>
      <c r="C5" s="5" t="s">
        <v>131</v>
      </c>
      <c r="D5" s="5" t="s">
        <v>132</v>
      </c>
      <c r="E5" s="5" t="s">
        <v>133</v>
      </c>
      <c r="F5" s="5" t="s">
        <v>134</v>
      </c>
    </row>
    <row r="6" spans="1:6" x14ac:dyDescent="0.45">
      <c r="A6" s="5" t="s">
        <v>135</v>
      </c>
      <c r="B6" s="5" t="s">
        <v>136</v>
      </c>
      <c r="C6" s="5" t="s">
        <v>137</v>
      </c>
      <c r="D6" s="5" t="s">
        <v>138</v>
      </c>
      <c r="E6" s="5" t="s">
        <v>133</v>
      </c>
      <c r="F6" s="5" t="s">
        <v>139</v>
      </c>
    </row>
    <row r="7" spans="1:6" x14ac:dyDescent="0.45">
      <c r="A7" s="5" t="s">
        <v>140</v>
      </c>
      <c r="B7" s="5" t="s">
        <v>141</v>
      </c>
      <c r="C7" s="5" t="s">
        <v>142</v>
      </c>
      <c r="D7" s="5" t="s">
        <v>143</v>
      </c>
      <c r="E7" s="5" t="s">
        <v>133</v>
      </c>
      <c r="F7" s="5" t="s">
        <v>144</v>
      </c>
    </row>
    <row r="8" spans="1:6" x14ac:dyDescent="0.45">
      <c r="A8" s="5" t="s">
        <v>145</v>
      </c>
      <c r="B8" s="5" t="s">
        <v>146</v>
      </c>
      <c r="C8" s="5" t="s">
        <v>147</v>
      </c>
      <c r="D8" s="5" t="s">
        <v>148</v>
      </c>
      <c r="E8" s="5" t="s">
        <v>133</v>
      </c>
      <c r="F8" s="5" t="s">
        <v>149</v>
      </c>
    </row>
    <row r="9" spans="1:6" x14ac:dyDescent="0.45">
      <c r="A9" s="5" t="s">
        <v>150</v>
      </c>
      <c r="B9" s="5" t="s">
        <v>151</v>
      </c>
      <c r="C9" s="5" t="s">
        <v>152</v>
      </c>
      <c r="D9" s="5" t="s">
        <v>153</v>
      </c>
      <c r="E9" s="5" t="s">
        <v>133</v>
      </c>
      <c r="F9" s="5" t="s">
        <v>154</v>
      </c>
    </row>
    <row r="10" spans="1:6" x14ac:dyDescent="0.45">
      <c r="A10" s="5" t="s">
        <v>155</v>
      </c>
      <c r="B10" s="5" t="s">
        <v>156</v>
      </c>
      <c r="C10" s="5" t="s">
        <v>157</v>
      </c>
      <c r="D10" s="5" t="s">
        <v>158</v>
      </c>
      <c r="E10" s="5" t="s">
        <v>133</v>
      </c>
      <c r="F10" s="5" t="s">
        <v>159</v>
      </c>
    </row>
    <row r="11" spans="1:6" x14ac:dyDescent="0.45">
      <c r="A11" s="5" t="s">
        <v>160</v>
      </c>
      <c r="B11" s="5" t="s">
        <v>161</v>
      </c>
      <c r="C11" s="5" t="s">
        <v>162</v>
      </c>
      <c r="D11" s="5" t="s">
        <v>163</v>
      </c>
      <c r="E11" s="5" t="s">
        <v>133</v>
      </c>
      <c r="F11" s="5" t="s">
        <v>164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workbookViewId="0"/>
  </sheetViews>
  <sheetFormatPr defaultRowHeight="14.25" x14ac:dyDescent="0.45"/>
  <cols>
    <col min="1" max="1" width="10" customWidth="1"/>
    <col min="2" max="2" width="16" customWidth="1"/>
    <col min="3" max="3" width="32" customWidth="1"/>
    <col min="4" max="4" width="16" customWidth="1"/>
    <col min="5" max="5" width="30" customWidth="1"/>
  </cols>
  <sheetData>
    <row r="1" spans="1:5" ht="26" customHeight="1" x14ac:dyDescent="0.45">
      <c r="A1" s="38" t="s">
        <v>165</v>
      </c>
      <c r="B1" s="39"/>
      <c r="C1" s="39"/>
      <c r="D1" s="39"/>
      <c r="E1" s="39"/>
    </row>
    <row r="2" spans="1:5" x14ac:dyDescent="0.45">
      <c r="A2" s="40" t="s">
        <v>166</v>
      </c>
      <c r="B2" s="39"/>
      <c r="C2" s="39"/>
      <c r="D2" s="39"/>
      <c r="E2" s="39"/>
    </row>
    <row r="3" spans="1:5" x14ac:dyDescent="0.45">
      <c r="A3" s="3" t="s">
        <v>167</v>
      </c>
      <c r="B3" s="4" t="s">
        <v>168</v>
      </c>
      <c r="C3" s="4" t="s">
        <v>169</v>
      </c>
      <c r="D3" s="4" t="s">
        <v>121</v>
      </c>
      <c r="E3" s="4" t="s">
        <v>170</v>
      </c>
    </row>
    <row r="4" spans="1:5" x14ac:dyDescent="0.45">
      <c r="A4" s="5" t="s">
        <v>171</v>
      </c>
      <c r="B4" s="5" t="s">
        <v>172</v>
      </c>
      <c r="C4" s="5" t="s">
        <v>173</v>
      </c>
      <c r="D4" s="5" t="s">
        <v>133</v>
      </c>
      <c r="E4" s="5" t="s">
        <v>174</v>
      </c>
    </row>
    <row r="5" spans="1:5" x14ac:dyDescent="0.45">
      <c r="A5" s="5" t="s">
        <v>175</v>
      </c>
      <c r="B5" s="5" t="s">
        <v>176</v>
      </c>
      <c r="C5" s="5" t="s">
        <v>177</v>
      </c>
      <c r="D5" s="5" t="s">
        <v>133</v>
      </c>
      <c r="E5" s="5" t="s">
        <v>178</v>
      </c>
    </row>
    <row r="6" spans="1:5" x14ac:dyDescent="0.45">
      <c r="A6" s="5" t="s">
        <v>179</v>
      </c>
      <c r="B6" s="5" t="s">
        <v>176</v>
      </c>
      <c r="C6" s="5" t="s">
        <v>180</v>
      </c>
      <c r="D6" s="5" t="s">
        <v>133</v>
      </c>
      <c r="E6" s="5" t="s">
        <v>181</v>
      </c>
    </row>
    <row r="7" spans="1:5" x14ac:dyDescent="0.45">
      <c r="A7" s="5" t="s">
        <v>182</v>
      </c>
      <c r="B7" s="5" t="s">
        <v>176</v>
      </c>
      <c r="C7" s="5" t="s">
        <v>183</v>
      </c>
      <c r="D7" s="5" t="s">
        <v>133</v>
      </c>
      <c r="E7" s="5" t="s">
        <v>181</v>
      </c>
    </row>
    <row r="8" spans="1:5" x14ac:dyDescent="0.45">
      <c r="A8" s="5" t="s">
        <v>184</v>
      </c>
      <c r="B8" s="5" t="s">
        <v>185</v>
      </c>
      <c r="C8" s="5" t="s">
        <v>186</v>
      </c>
      <c r="D8" s="5" t="s">
        <v>133</v>
      </c>
      <c r="E8" s="5" t="s">
        <v>187</v>
      </c>
    </row>
    <row r="9" spans="1:5" x14ac:dyDescent="0.45">
      <c r="A9" s="5" t="s">
        <v>188</v>
      </c>
      <c r="B9" s="5" t="s">
        <v>189</v>
      </c>
      <c r="C9" s="5" t="s">
        <v>190</v>
      </c>
      <c r="D9" s="5" t="s">
        <v>133</v>
      </c>
      <c r="E9" s="5" t="s">
        <v>191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workbookViewId="0"/>
  </sheetViews>
  <sheetFormatPr defaultRowHeight="14.25" x14ac:dyDescent="0.45"/>
  <cols>
    <col min="1" max="1" width="10" customWidth="1"/>
    <col min="2" max="2" width="18" customWidth="1"/>
    <col min="3" max="3" width="14" customWidth="1"/>
    <col min="4" max="4" width="10" customWidth="1"/>
    <col min="5" max="5" width="13" customWidth="1"/>
    <col min="6" max="6" width="42" customWidth="1"/>
    <col min="7" max="7" width="11" customWidth="1"/>
    <col min="8" max="8" width="44" customWidth="1"/>
    <col min="9" max="9" width="50" customWidth="1"/>
  </cols>
  <sheetData>
    <row r="1" spans="1:9" ht="26" customHeight="1" x14ac:dyDescent="0.45">
      <c r="A1" s="38" t="s">
        <v>192</v>
      </c>
      <c r="B1" s="39"/>
      <c r="C1" s="39"/>
      <c r="D1" s="39"/>
      <c r="E1" s="39"/>
      <c r="F1" s="39"/>
    </row>
    <row r="2" spans="1:9" x14ac:dyDescent="0.45">
      <c r="A2" s="40" t="s">
        <v>193</v>
      </c>
      <c r="B2" s="39"/>
      <c r="C2" s="39"/>
      <c r="D2" s="39"/>
      <c r="E2" s="39"/>
      <c r="F2" s="39"/>
    </row>
    <row r="3" spans="1:9" ht="26.25" x14ac:dyDescent="0.45">
      <c r="A3" s="3" t="s">
        <v>194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16" t="s">
        <v>200</v>
      </c>
      <c r="H3" s="16" t="s">
        <v>201</v>
      </c>
      <c r="I3" s="16" t="s">
        <v>202</v>
      </c>
    </row>
    <row r="4" spans="1:9" ht="25.5" x14ac:dyDescent="0.45">
      <c r="A4" s="5" t="s">
        <v>203</v>
      </c>
      <c r="B4" s="5" t="s">
        <v>204</v>
      </c>
      <c r="C4" s="5" t="s">
        <v>205</v>
      </c>
      <c r="D4" s="5" t="s">
        <v>206</v>
      </c>
      <c r="E4" s="6" t="s">
        <v>207</v>
      </c>
      <c r="F4" s="5" t="s">
        <v>208</v>
      </c>
      <c r="G4" s="17">
        <v>1</v>
      </c>
      <c r="H4" s="18" t="s">
        <v>209</v>
      </c>
      <c r="I4" s="18" t="s">
        <v>210</v>
      </c>
    </row>
    <row r="5" spans="1:9" ht="25.5" x14ac:dyDescent="0.45">
      <c r="A5" s="5" t="s">
        <v>211</v>
      </c>
      <c r="B5" s="5" t="s">
        <v>212</v>
      </c>
      <c r="C5" s="5" t="s">
        <v>213</v>
      </c>
      <c r="D5" s="5" t="s">
        <v>214</v>
      </c>
      <c r="E5" s="6" t="s">
        <v>215</v>
      </c>
      <c r="F5" s="5" t="s">
        <v>216</v>
      </c>
      <c r="G5" s="17">
        <v>3</v>
      </c>
      <c r="H5" s="18" t="s">
        <v>217</v>
      </c>
      <c r="I5" s="18" t="s">
        <v>218</v>
      </c>
    </row>
    <row r="6" spans="1:9" ht="25.5" x14ac:dyDescent="0.45">
      <c r="A6" s="5" t="s">
        <v>219</v>
      </c>
      <c r="B6" s="5" t="s">
        <v>220</v>
      </c>
      <c r="C6" s="5" t="s">
        <v>221</v>
      </c>
      <c r="D6" s="5" t="s">
        <v>214</v>
      </c>
      <c r="E6" s="6" t="s">
        <v>222</v>
      </c>
      <c r="F6" s="5" t="s">
        <v>223</v>
      </c>
      <c r="G6" s="17">
        <v>4</v>
      </c>
      <c r="H6" s="18" t="s">
        <v>224</v>
      </c>
      <c r="I6" s="18" t="s">
        <v>225</v>
      </c>
    </row>
    <row r="7" spans="1:9" ht="25.5" x14ac:dyDescent="0.45">
      <c r="A7" s="5" t="s">
        <v>226</v>
      </c>
      <c r="B7" s="5" t="s">
        <v>227</v>
      </c>
      <c r="C7" s="5" t="s">
        <v>228</v>
      </c>
      <c r="D7" s="5" t="s">
        <v>214</v>
      </c>
      <c r="E7" s="6" t="s">
        <v>215</v>
      </c>
      <c r="F7" s="5" t="s">
        <v>229</v>
      </c>
      <c r="G7" s="17">
        <v>2</v>
      </c>
      <c r="H7" s="18" t="s">
        <v>230</v>
      </c>
      <c r="I7" s="18" t="s">
        <v>231</v>
      </c>
    </row>
    <row r="8" spans="1:9" ht="25.5" x14ac:dyDescent="0.45">
      <c r="A8" s="5" t="s">
        <v>232</v>
      </c>
      <c r="B8" s="5" t="s">
        <v>233</v>
      </c>
      <c r="C8" s="5" t="s">
        <v>234</v>
      </c>
      <c r="D8" s="5" t="s">
        <v>214</v>
      </c>
      <c r="E8" s="6" t="s">
        <v>222</v>
      </c>
      <c r="F8" s="5" t="s">
        <v>235</v>
      </c>
      <c r="G8" s="17">
        <v>5</v>
      </c>
      <c r="H8" s="18" t="s">
        <v>236</v>
      </c>
      <c r="I8" s="18" t="s">
        <v>237</v>
      </c>
    </row>
    <row r="9" spans="1:9" ht="25.5" x14ac:dyDescent="0.45">
      <c r="A9" s="5" t="s">
        <v>238</v>
      </c>
      <c r="B9" s="5" t="s">
        <v>239</v>
      </c>
      <c r="C9" s="5" t="s">
        <v>240</v>
      </c>
      <c r="D9" s="5" t="s">
        <v>214</v>
      </c>
      <c r="E9" s="6" t="s">
        <v>241</v>
      </c>
      <c r="F9" s="5" t="s">
        <v>242</v>
      </c>
      <c r="G9" s="17">
        <v>6</v>
      </c>
      <c r="H9" s="18" t="s">
        <v>243</v>
      </c>
      <c r="I9" s="18" t="s">
        <v>244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showGridLines="0" workbookViewId="0"/>
  </sheetViews>
  <sheetFormatPr defaultRowHeight="14.25" x14ac:dyDescent="0.45"/>
  <cols>
    <col min="1" max="1" width="20" customWidth="1"/>
    <col min="2" max="2" width="56" customWidth="1"/>
    <col min="3" max="3" width="34" customWidth="1"/>
  </cols>
  <sheetData>
    <row r="1" spans="1:3" ht="26" customHeight="1" x14ac:dyDescent="0.45">
      <c r="A1" s="38" t="s">
        <v>245</v>
      </c>
      <c r="B1" s="39"/>
      <c r="C1" s="39"/>
    </row>
    <row r="2" spans="1:3" x14ac:dyDescent="0.45">
      <c r="A2" s="40" t="s">
        <v>246</v>
      </c>
      <c r="B2" s="39"/>
      <c r="C2" s="39"/>
    </row>
    <row r="3" spans="1:3" x14ac:dyDescent="0.45">
      <c r="A3" s="3" t="s">
        <v>247</v>
      </c>
      <c r="B3" s="4" t="s">
        <v>248</v>
      </c>
      <c r="C3" s="4" t="s">
        <v>170</v>
      </c>
    </row>
    <row r="4" spans="1:3" x14ac:dyDescent="0.45">
      <c r="A4" s="5" t="s">
        <v>249</v>
      </c>
      <c r="B4" s="5" t="s">
        <v>57</v>
      </c>
      <c r="C4" s="5" t="s">
        <v>250</v>
      </c>
    </row>
    <row r="5" spans="1:3" x14ac:dyDescent="0.45">
      <c r="A5" s="5" t="s">
        <v>251</v>
      </c>
      <c r="B5" s="5" t="s">
        <v>252</v>
      </c>
      <c r="C5" s="5"/>
    </row>
    <row r="6" spans="1:3" x14ac:dyDescent="0.45">
      <c r="A6" s="5" t="s">
        <v>253</v>
      </c>
      <c r="B6" s="5" t="s">
        <v>214</v>
      </c>
      <c r="C6" s="5"/>
    </row>
    <row r="7" spans="1:3" x14ac:dyDescent="0.45">
      <c r="A7" s="5" t="s">
        <v>254</v>
      </c>
      <c r="B7" s="5" t="s">
        <v>255</v>
      </c>
      <c r="C7" s="5"/>
    </row>
    <row r="8" spans="1:3" ht="25.5" x14ac:dyDescent="0.45">
      <c r="A8" s="5" t="s">
        <v>256</v>
      </c>
      <c r="B8" s="5" t="s">
        <v>257</v>
      </c>
      <c r="C8" s="5"/>
    </row>
    <row r="9" spans="1:3" x14ac:dyDescent="0.45">
      <c r="A9" s="5" t="s">
        <v>258</v>
      </c>
      <c r="B9" s="5" t="s">
        <v>259</v>
      </c>
      <c r="C9" s="5"/>
    </row>
    <row r="10" spans="1:3" x14ac:dyDescent="0.45">
      <c r="A10" s="5" t="s">
        <v>260</v>
      </c>
      <c r="B10" s="5" t="s">
        <v>261</v>
      </c>
      <c r="C10" s="5"/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showGridLines="0" workbookViewId="0"/>
  </sheetViews>
  <sheetFormatPr defaultRowHeight="14.25" x14ac:dyDescent="0.45"/>
  <cols>
    <col min="1" max="1" width="10" customWidth="1"/>
    <col min="2" max="3" width="12" customWidth="1"/>
  </cols>
  <sheetData>
    <row r="1" spans="1:3" ht="26" customHeight="1" x14ac:dyDescent="0.45">
      <c r="A1" s="38" t="s">
        <v>262</v>
      </c>
      <c r="B1" s="39"/>
      <c r="C1" s="39"/>
    </row>
    <row r="3" spans="1:3" x14ac:dyDescent="0.45">
      <c r="A3" s="3" t="s">
        <v>263</v>
      </c>
      <c r="B3" s="3" t="s">
        <v>76</v>
      </c>
      <c r="C3" s="3" t="s">
        <v>117</v>
      </c>
    </row>
    <row r="4" spans="1:3" x14ac:dyDescent="0.45">
      <c r="A4" s="5" t="s">
        <v>264</v>
      </c>
      <c r="B4" s="5" t="s">
        <v>87</v>
      </c>
      <c r="C4" s="5" t="s">
        <v>123</v>
      </c>
    </row>
    <row r="5" spans="1:3" x14ac:dyDescent="0.45">
      <c r="A5" s="5" t="s">
        <v>265</v>
      </c>
      <c r="B5" s="5" t="s">
        <v>87</v>
      </c>
      <c r="C5" s="5" t="s">
        <v>129</v>
      </c>
    </row>
    <row r="6" spans="1:3" x14ac:dyDescent="0.45">
      <c r="A6" s="5" t="s">
        <v>266</v>
      </c>
      <c r="B6" s="5" t="s">
        <v>87</v>
      </c>
      <c r="C6" s="5" t="s">
        <v>150</v>
      </c>
    </row>
    <row r="7" spans="1:3" x14ac:dyDescent="0.45">
      <c r="A7" s="5" t="s">
        <v>267</v>
      </c>
      <c r="B7" s="5" t="s">
        <v>87</v>
      </c>
      <c r="C7" s="5" t="s">
        <v>140</v>
      </c>
    </row>
    <row r="8" spans="1:3" x14ac:dyDescent="0.45">
      <c r="A8" s="5" t="s">
        <v>268</v>
      </c>
      <c r="B8" s="5" t="s">
        <v>98</v>
      </c>
      <c r="C8" s="5" t="s">
        <v>135</v>
      </c>
    </row>
    <row r="9" spans="1:3" x14ac:dyDescent="0.45">
      <c r="A9" s="5" t="s">
        <v>269</v>
      </c>
      <c r="B9" s="5" t="s">
        <v>98</v>
      </c>
      <c r="C9" s="5" t="s">
        <v>155</v>
      </c>
    </row>
    <row r="10" spans="1:3" x14ac:dyDescent="0.45">
      <c r="A10" s="5" t="s">
        <v>270</v>
      </c>
      <c r="B10" s="5" t="s">
        <v>98</v>
      </c>
      <c r="C10" s="5" t="s">
        <v>123</v>
      </c>
    </row>
    <row r="11" spans="1:3" x14ac:dyDescent="0.45">
      <c r="A11" s="5" t="s">
        <v>271</v>
      </c>
      <c r="B11" s="5" t="s">
        <v>98</v>
      </c>
      <c r="C11" s="5" t="s">
        <v>145</v>
      </c>
    </row>
    <row r="12" spans="1:3" x14ac:dyDescent="0.45">
      <c r="A12" s="5" t="s">
        <v>272</v>
      </c>
      <c r="B12" s="5" t="s">
        <v>107</v>
      </c>
      <c r="C12" s="5" t="s">
        <v>135</v>
      </c>
    </row>
    <row r="13" spans="1:3" x14ac:dyDescent="0.45">
      <c r="A13" s="5" t="s">
        <v>273</v>
      </c>
      <c r="B13" s="5" t="s">
        <v>107</v>
      </c>
      <c r="C13" s="5" t="s">
        <v>140</v>
      </c>
    </row>
    <row r="14" spans="1:3" x14ac:dyDescent="0.45">
      <c r="A14" s="5" t="s">
        <v>274</v>
      </c>
      <c r="B14" s="5" t="s">
        <v>107</v>
      </c>
      <c r="C14" s="5" t="s">
        <v>129</v>
      </c>
    </row>
    <row r="15" spans="1:3" x14ac:dyDescent="0.45">
      <c r="A15" s="5" t="s">
        <v>275</v>
      </c>
      <c r="B15" s="5" t="s">
        <v>107</v>
      </c>
      <c r="C15" s="5" t="s">
        <v>145</v>
      </c>
    </row>
    <row r="16" spans="1:3" x14ac:dyDescent="0.45">
      <c r="A16" s="5" t="s">
        <v>276</v>
      </c>
      <c r="B16" s="5" t="s">
        <v>107</v>
      </c>
      <c r="C16" s="5" t="s">
        <v>160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showGridLines="0" workbookViewId="0"/>
  </sheetViews>
  <sheetFormatPr defaultRowHeight="14.25" x14ac:dyDescent="0.45"/>
  <cols>
    <col min="1" max="1" width="10" customWidth="1"/>
    <col min="2" max="3" width="12" customWidth="1"/>
  </cols>
  <sheetData>
    <row r="1" spans="1:3" ht="26" customHeight="1" x14ac:dyDescent="0.45">
      <c r="A1" s="38" t="s">
        <v>277</v>
      </c>
      <c r="B1" s="39"/>
      <c r="C1" s="39"/>
    </row>
    <row r="3" spans="1:3" x14ac:dyDescent="0.45">
      <c r="A3" s="3" t="s">
        <v>263</v>
      </c>
      <c r="B3" s="3" t="s">
        <v>76</v>
      </c>
      <c r="C3" s="3" t="s">
        <v>167</v>
      </c>
    </row>
    <row r="4" spans="1:3" x14ac:dyDescent="0.45">
      <c r="A4" s="5" t="s">
        <v>278</v>
      </c>
      <c r="B4" s="5" t="s">
        <v>87</v>
      </c>
      <c r="C4" s="5" t="s">
        <v>175</v>
      </c>
    </row>
    <row r="5" spans="1:3" x14ac:dyDescent="0.45">
      <c r="A5" s="5" t="s">
        <v>279</v>
      </c>
      <c r="B5" s="5" t="s">
        <v>98</v>
      </c>
      <c r="C5" s="5" t="s">
        <v>179</v>
      </c>
    </row>
    <row r="6" spans="1:3" x14ac:dyDescent="0.45">
      <c r="A6" s="5" t="s">
        <v>280</v>
      </c>
      <c r="B6" s="5" t="s">
        <v>107</v>
      </c>
      <c r="C6" s="5" t="s">
        <v>182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showGridLines="0" workbookViewId="0"/>
  </sheetViews>
  <sheetFormatPr defaultRowHeight="14.25" x14ac:dyDescent="0.45"/>
  <cols>
    <col min="1" max="1" width="10" customWidth="1"/>
    <col min="2" max="3" width="12" customWidth="1"/>
  </cols>
  <sheetData>
    <row r="1" spans="1:3" ht="26" customHeight="1" x14ac:dyDescent="0.45">
      <c r="A1" s="38" t="s">
        <v>281</v>
      </c>
      <c r="B1" s="39"/>
      <c r="C1" s="39"/>
    </row>
    <row r="3" spans="1:3" x14ac:dyDescent="0.45">
      <c r="A3" s="3" t="s">
        <v>263</v>
      </c>
      <c r="B3" s="3" t="s">
        <v>39</v>
      </c>
      <c r="C3" s="3" t="s">
        <v>117</v>
      </c>
    </row>
    <row r="4" spans="1:3" x14ac:dyDescent="0.45">
      <c r="A4" s="5" t="s">
        <v>282</v>
      </c>
      <c r="B4" s="5" t="s">
        <v>57</v>
      </c>
      <c r="C4" s="5" t="s">
        <v>123</v>
      </c>
    </row>
    <row r="5" spans="1:3" x14ac:dyDescent="0.45">
      <c r="A5" s="5" t="s">
        <v>283</v>
      </c>
      <c r="B5" s="5" t="s">
        <v>57</v>
      </c>
      <c r="C5" s="5" t="s">
        <v>129</v>
      </c>
    </row>
    <row r="6" spans="1:3" x14ac:dyDescent="0.45">
      <c r="A6" s="5" t="s">
        <v>284</v>
      </c>
      <c r="B6" s="5" t="s">
        <v>57</v>
      </c>
      <c r="C6" s="5" t="s">
        <v>135</v>
      </c>
    </row>
    <row r="7" spans="1:3" x14ac:dyDescent="0.45">
      <c r="A7" s="5" t="s">
        <v>285</v>
      </c>
      <c r="B7" s="5" t="s">
        <v>57</v>
      </c>
      <c r="C7" s="5" t="s">
        <v>140</v>
      </c>
    </row>
    <row r="8" spans="1:3" x14ac:dyDescent="0.45">
      <c r="A8" s="5" t="s">
        <v>286</v>
      </c>
      <c r="B8" s="5" t="s">
        <v>57</v>
      </c>
      <c r="C8" s="5" t="s">
        <v>145</v>
      </c>
    </row>
    <row r="9" spans="1:3" x14ac:dyDescent="0.45">
      <c r="A9" s="5" t="s">
        <v>287</v>
      </c>
      <c r="B9" s="5" t="s">
        <v>57</v>
      </c>
      <c r="C9" s="5" t="s">
        <v>150</v>
      </c>
    </row>
    <row r="10" spans="1:3" x14ac:dyDescent="0.45">
      <c r="A10" s="5" t="s">
        <v>288</v>
      </c>
      <c r="B10" s="5" t="s">
        <v>57</v>
      </c>
      <c r="C10" s="5" t="s">
        <v>155</v>
      </c>
    </row>
    <row r="11" spans="1:3" x14ac:dyDescent="0.45">
      <c r="A11" s="5" t="s">
        <v>289</v>
      </c>
      <c r="B11" s="5" t="s">
        <v>57</v>
      </c>
      <c r="C11" s="5" t="s">
        <v>160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showGridLines="0" workbookViewId="0"/>
  </sheetViews>
  <sheetFormatPr defaultRowHeight="14.25" x14ac:dyDescent="0.45"/>
  <cols>
    <col min="1" max="1" width="10" customWidth="1"/>
    <col min="2" max="3" width="12" customWidth="1"/>
  </cols>
  <sheetData>
    <row r="1" spans="1:3" ht="26" customHeight="1" x14ac:dyDescent="0.45">
      <c r="A1" s="38" t="s">
        <v>290</v>
      </c>
      <c r="B1" s="39"/>
      <c r="C1" s="39"/>
    </row>
    <row r="3" spans="1:3" x14ac:dyDescent="0.45">
      <c r="A3" s="3" t="s">
        <v>263</v>
      </c>
      <c r="B3" s="3" t="s">
        <v>39</v>
      </c>
      <c r="C3" s="3" t="s">
        <v>194</v>
      </c>
    </row>
    <row r="4" spans="1:3" x14ac:dyDescent="0.45">
      <c r="A4" s="5" t="s">
        <v>291</v>
      </c>
      <c r="B4" s="5" t="s">
        <v>57</v>
      </c>
      <c r="C4" s="5" t="s">
        <v>203</v>
      </c>
    </row>
    <row r="5" spans="1:3" x14ac:dyDescent="0.45">
      <c r="A5" s="5" t="s">
        <v>292</v>
      </c>
      <c r="B5" s="5" t="s">
        <v>57</v>
      </c>
      <c r="C5" s="5" t="s">
        <v>211</v>
      </c>
    </row>
    <row r="6" spans="1:3" x14ac:dyDescent="0.45">
      <c r="A6" s="5" t="s">
        <v>293</v>
      </c>
      <c r="B6" s="5" t="s">
        <v>57</v>
      </c>
      <c r="C6" s="5" t="s">
        <v>219</v>
      </c>
    </row>
    <row r="7" spans="1:3" x14ac:dyDescent="0.45">
      <c r="A7" s="5" t="s">
        <v>294</v>
      </c>
      <c r="B7" s="5" t="s">
        <v>57</v>
      </c>
      <c r="C7" s="5" t="s">
        <v>226</v>
      </c>
    </row>
    <row r="8" spans="1:3" x14ac:dyDescent="0.45">
      <c r="A8" s="5" t="s">
        <v>295</v>
      </c>
      <c r="B8" s="5" t="s">
        <v>57</v>
      </c>
      <c r="C8" s="5" t="s">
        <v>232</v>
      </c>
    </row>
    <row r="9" spans="1:3" x14ac:dyDescent="0.45">
      <c r="A9" s="5" t="s">
        <v>296</v>
      </c>
      <c r="B9" s="5" t="s">
        <v>57</v>
      </c>
      <c r="C9" s="5" t="s">
        <v>238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3"/>
  <sheetViews>
    <sheetView showGridLines="0" workbookViewId="0"/>
  </sheetViews>
  <sheetFormatPr defaultRowHeight="14.25" x14ac:dyDescent="0.45"/>
  <cols>
    <col min="1" max="1" width="24" customWidth="1"/>
    <col min="2" max="2" width="90" customWidth="1"/>
  </cols>
  <sheetData>
    <row r="1" spans="1:2" ht="26" customHeight="1" x14ac:dyDescent="0.45">
      <c r="A1" s="38" t="s">
        <v>297</v>
      </c>
      <c r="B1" s="39"/>
    </row>
    <row r="3" spans="1:2" x14ac:dyDescent="0.45">
      <c r="A3" s="7" t="s">
        <v>298</v>
      </c>
      <c r="B3" s="7" t="s">
        <v>299</v>
      </c>
    </row>
    <row r="4" spans="1:2" x14ac:dyDescent="0.45">
      <c r="A4" s="8" t="s">
        <v>300</v>
      </c>
      <c r="B4" s="9" t="str">
        <f>INDEX('RAW_Company'!$A:$A,MATCH(INDEX('RAW_Config'!$B:$B,MATCH("ActiveCompanyID",'RAW_Config'!$A:$A,0)),'RAW_Company'!$A:$A,0))</f>
        <v>C001</v>
      </c>
    </row>
    <row r="5" spans="1:2" x14ac:dyDescent="0.45">
      <c r="A5" s="8" t="s">
        <v>301</v>
      </c>
      <c r="B5" s="9" t="str">
        <f>INDEX('RAW_Company'!$B:$B,MATCH(INDEX('RAW_Config'!$B:$B,MATCH("ActiveCompanyID",'RAW_Config'!$A:$A,0)),'RAW_Company'!$A:$A,0))</f>
        <v>Công ty Cổ phần Nông Thủy Sản Mekong Delta Pride</v>
      </c>
    </row>
    <row r="6" spans="1:2" x14ac:dyDescent="0.45">
      <c r="A6" s="8" t="s">
        <v>302</v>
      </c>
      <c r="B6" s="9" t="str">
        <f>INDEX('RAW_Company'!$C:$C,MATCH(INDEX('RAW_Config'!$B:$B,MATCH("ActiveCompanyID",'RAW_Config'!$A:$A,0)),'RAW_Company'!$A:$A,0))</f>
        <v>Mekong Delta Pride Agri-Aqua JSC</v>
      </c>
    </row>
    <row r="7" spans="1:2" x14ac:dyDescent="0.45">
      <c r="A7" s="8" t="s">
        <v>303</v>
      </c>
      <c r="B7" s="9">
        <f>INDEX('RAW_Company'!$D:$D,MATCH(INDEX('RAW_Config'!$B:$B,MATCH("ActiveCompanyID",'RAW_Config'!$A:$A,0)),'RAW_Company'!$A:$A,0))</f>
        <v>2015</v>
      </c>
    </row>
    <row r="8" spans="1:2" x14ac:dyDescent="0.45">
      <c r="A8" s="8" t="s">
        <v>304</v>
      </c>
      <c r="B8" s="9" t="str">
        <f>INDEX('RAW_Company'!$E:$E,MATCH(INDEX('RAW_Config'!$B:$B,MATCH("ActiveCompanyID",'RAW_Config'!$A:$A,0)),'RAW_Company'!$A:$A,0))</f>
        <v>Lô C12, KCN Trà Nóc 2, Q. Bình Thủy, TP. Cần Thơ</v>
      </c>
    </row>
    <row r="9" spans="1:2" x14ac:dyDescent="0.45">
      <c r="A9" s="8" t="s">
        <v>305</v>
      </c>
      <c r="B9" s="9" t="str">
        <f>INDEX('RAW_Company'!$F:$F,MATCH(INDEX('RAW_Config'!$B:$B,MATCH("ActiveCompanyID",'RAW_Config'!$A:$A,0)),'RAW_Company'!$A:$A,0))</f>
        <v>KCN Sông Hậu, huyện Châu Thành, tỉnh Hậu Giang</v>
      </c>
    </row>
    <row r="10" spans="1:2" x14ac:dyDescent="0.45">
      <c r="A10" s="8" t="s">
        <v>306</v>
      </c>
      <c r="B10" s="9" t="str">
        <f>INDEX('RAW_Company'!$G:$G,MATCH(INDEX('RAW_Config'!$B:$B,MATCH("ActiveCompanyID",'RAW_Config'!$A:$A,0)),'RAW_Company'!$A:$A,0))</f>
        <v>320 ha sầu riêng liên kết (Tiền Giang, Đắk Lắk); 180 ha ao tôm/cá tra ASC (Sóc Trăng, Đồng Tháp)</v>
      </c>
    </row>
    <row r="11" spans="1:2" x14ac:dyDescent="0.45">
      <c r="A11" s="8" t="s">
        <v>46</v>
      </c>
      <c r="B11" s="9" t="str">
        <f>INDEX('RAW_Company'!$H:$H,MATCH(INDEX('RAW_Config'!$B:$B,MATCH("ActiveCompanyID",'RAW_Config'!$A:$A,0)),'RAW_Company'!$A:$A,0))</f>
        <v>sales@mekongdeltapride.com</v>
      </c>
    </row>
    <row r="12" spans="1:2" x14ac:dyDescent="0.45">
      <c r="A12" s="8" t="s">
        <v>47</v>
      </c>
      <c r="B12" s="9" t="str">
        <f>INDEX('RAW_Company'!$I:$I,MATCH(INDEX('RAW_Config'!$B:$B,MATCH("ActiveCompanyID",'RAW_Config'!$A:$A,0)),'RAW_Company'!$A:$A,0))</f>
        <v>+84 909 123 456</v>
      </c>
    </row>
    <row r="13" spans="1:2" x14ac:dyDescent="0.45">
      <c r="A13" s="8" t="s">
        <v>48</v>
      </c>
      <c r="B13" s="9" t="str">
        <f>INDEX('RAW_Company'!$J:$J,MATCH(INDEX('RAW_Config'!$B:$B,MATCH("ActiveCompanyID",'RAW_Config'!$A:$A,0)),'RAW_Company'!$A:$A,0))</f>
        <v>MekongPride_Export</v>
      </c>
    </row>
    <row r="14" spans="1:2" x14ac:dyDescent="0.45">
      <c r="A14" s="8" t="s">
        <v>49</v>
      </c>
      <c r="B14" s="9" t="str">
        <f>INDEX('RAW_Company'!$K:$K,MATCH(INDEX('RAW_Config'!$B:$B,MATCH("ActiveCompanyID",'RAW_Config'!$A:$A,0)),'RAW_Company'!$A:$A,0))</f>
        <v>0909123456</v>
      </c>
    </row>
    <row r="15" spans="1:2" x14ac:dyDescent="0.45">
      <c r="A15" s="8" t="s">
        <v>50</v>
      </c>
      <c r="B15" s="9" t="str">
        <f>INDEX('RAW_Company'!$L:$L,MATCH(INDEX('RAW_Config'!$B:$B,MATCH("ActiveCompanyID",'RAW_Config'!$A:$A,0)),'RAW_Company'!$A:$A,0))</f>
        <v>www.mekongdeltapride.com</v>
      </c>
    </row>
    <row r="16" spans="1:2" x14ac:dyDescent="0.45">
      <c r="A16" s="8" t="s">
        <v>51</v>
      </c>
      <c r="B16" s="9" t="str">
        <f>INDEX('RAW_Company'!$M:$M,MATCH(INDEX('RAW_Config'!$B:$B,MATCH("ActiveCompanyID",'RAW_Config'!$A:$A,0)),'RAW_Company'!$A:$A,0))</f>
        <v>Trở thành nhà cung cấp nông–thủy sản Việt Nam đáng tin cậy nhất khu vực châu Á–Thái Bình Dương vào năm 2030.</v>
      </c>
    </row>
    <row r="17" spans="1:2" x14ac:dyDescent="0.45">
      <c r="A17" s="8" t="s">
        <v>52</v>
      </c>
      <c r="B17" s="9" t="str">
        <f>INDEX('RAW_Company'!$N:$N,MATCH(INDEX('RAW_Config'!$B:$B,MATCH("ActiveCompanyID",'RAW_Config'!$A:$A,0)),'RAW_Company'!$A:$A,0))</f>
        <v>Mang nông sản và thủy sản Việt Nam đạt chuẩn quốc tế đến bàn ăn toàn cầu, cam kết truy xuất nguồn gốc 100% và chất lượng ổn định.</v>
      </c>
    </row>
    <row r="18" spans="1:2" x14ac:dyDescent="0.45">
      <c r="A18" s="8" t="s">
        <v>307</v>
      </c>
      <c r="B18" s="9" t="str">
        <f>INDEX('RAW_Company'!$O:$O,MATCH(INDEX('RAW_Config'!$B:$B,MATCH("ActiveCompanyID",'RAW_Config'!$A:$A,0)),'RAW_Company'!$A:$A,0))</f>
        <v>Minh bạch – Chất lượng – Đúng hẹn – Bền vững – Đối tác dài hạn</v>
      </c>
    </row>
    <row r="19" spans="1:2" x14ac:dyDescent="0.45">
      <c r="A19" s="8" t="s">
        <v>308</v>
      </c>
      <c r="B19" s="9" t="str">
        <f>INDEX('RAW_Company'!$P:$P,MATCH(INDEX('RAW_Config'!$B:$B,MATCH("ActiveCompanyID",'RAW_Config'!$A:$A,0)),'RAW_Company'!$A:$A,0))</f>
        <v>Vùng nguyên liệu khép kín farm-to-port; Kho lạnh 5.000 tấn + 4 hầm IQF -40°C; Lab kiểm kháng sinh tại chỗ; Đủ HACCP/ISO22000/ASC/GlobalGAP/BRC; 6 năm xuất khẩu ổn định</v>
      </c>
    </row>
    <row r="20" spans="1:2" x14ac:dyDescent="0.45">
      <c r="A20" s="8" t="s">
        <v>309</v>
      </c>
      <c r="B20" s="9" t="str">
        <f>INDEX('RAW_Company'!$Q:$Q,MATCH(INDEX('RAW_Config'!$B:$B,MATCH("ActiveCompanyID",'RAW_Config'!$A:$A,0)),'RAW_Company'!$A:$A,0))</f>
        <v>Sầu riêng 1.200 tấn/tháng; Tôm 800 tấn/tháng; Cá tra fillet 1.500 tấn/tháng; 3 dây chuyền IQF, 120 tấn/ngày</v>
      </c>
    </row>
    <row r="21" spans="1:2" x14ac:dyDescent="0.45">
      <c r="A21" s="8" t="s">
        <v>56</v>
      </c>
      <c r="B21" s="9" t="str">
        <f>INDEX('RAW_Company'!$R:$R,MATCH(INDEX('RAW_Config'!$B:$B,MATCH("ActiveCompanyID",'RAW_Config'!$A:$A,0)),'RAW_Company'!$A:$A,0))</f>
        <v>Top 50 DN thủy sản VASEP 2023; Mã vùng trồng &amp; cơ sở đóng gói GACC; Khách dài hạn EU &amp; Quảng Châu; 6 năm 0 lô bị trả về</v>
      </c>
    </row>
    <row r="22" spans="1:2" x14ac:dyDescent="0.45">
      <c r="A22" s="8" t="s">
        <v>310</v>
      </c>
      <c r="B22" s="9">
        <f>COUNTIFS(BRG_Company_Market!$B:$B,INDEX('RAW_Config'!$B:$B,MATCH("ActiveCompanyID",'RAW_Config'!$A:$A,0)))</f>
        <v>6</v>
      </c>
    </row>
    <row r="23" spans="1:2" x14ac:dyDescent="0.45">
      <c r="A23" s="8" t="s">
        <v>311</v>
      </c>
      <c r="B23" s="9">
        <f>COUNTIFS(BRG_Company_Certificate!$B:$B,INDEX('RAW_Config'!$B:$B,MATCH("ActiveCompanyID",'RAW_Config'!$A:$A,0)))</f>
        <v>8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"/>
  <sheetViews>
    <sheetView showGridLines="0" workbookViewId="0"/>
  </sheetViews>
  <sheetFormatPr defaultRowHeight="14.25" x14ac:dyDescent="0.45"/>
  <cols>
    <col min="1" max="1" width="10" customWidth="1"/>
    <col min="2" max="3" width="30" customWidth="1"/>
    <col min="4" max="4" width="11" customWidth="1"/>
    <col min="5" max="5" width="14" customWidth="1"/>
    <col min="6" max="6" width="16" customWidth="1"/>
    <col min="7" max="8" width="8" customWidth="1"/>
    <col min="9" max="9" width="30" customWidth="1"/>
  </cols>
  <sheetData>
    <row r="1" spans="1:9" ht="26" customHeight="1" x14ac:dyDescent="0.45">
      <c r="A1" s="38" t="s">
        <v>312</v>
      </c>
      <c r="B1" s="39"/>
      <c r="C1" s="39"/>
      <c r="D1" s="39"/>
      <c r="E1" s="39"/>
      <c r="F1" s="39"/>
      <c r="G1" s="39"/>
      <c r="H1" s="39"/>
      <c r="I1" s="39"/>
    </row>
    <row r="3" spans="1:9" ht="26.25" x14ac:dyDescent="0.45">
      <c r="A3" s="4" t="s">
        <v>76</v>
      </c>
      <c r="B3" s="4" t="s">
        <v>313</v>
      </c>
      <c r="C3" s="4" t="s">
        <v>314</v>
      </c>
      <c r="D3" s="4" t="s">
        <v>315</v>
      </c>
      <c r="E3" s="4" t="s">
        <v>84</v>
      </c>
      <c r="F3" s="4" t="s">
        <v>316</v>
      </c>
      <c r="G3" s="4" t="s">
        <v>317</v>
      </c>
      <c r="H3" s="4" t="s">
        <v>318</v>
      </c>
      <c r="I3" s="4" t="s">
        <v>319</v>
      </c>
    </row>
    <row r="4" spans="1:9" x14ac:dyDescent="0.45">
      <c r="A4" s="9" t="str">
        <f>'RAW_Product'!A4</f>
        <v>P001</v>
      </c>
      <c r="B4" s="9" t="str">
        <f>'RAW_Product'!D4</f>
        <v>Frozen Durian (Ri6 &amp; Monthong)</v>
      </c>
      <c r="C4" s="9" t="str">
        <f>'RAW_Product'!C4</f>
        <v>Sầu riêng đông lạnh nguyên múi</v>
      </c>
      <c r="D4" s="9" t="str">
        <f>'RAW_Product'!E4</f>
        <v>0811.90.00</v>
      </c>
      <c r="E4" s="9" t="str">
        <f>'RAW_Product'!J4</f>
        <v>1×40ft (25 tấn)</v>
      </c>
      <c r="F4" s="9" t="str">
        <f>'RAW_Product'!K4</f>
        <v>1.200 tấn/tháng</v>
      </c>
      <c r="G4" s="10">
        <f>COUNTIFS(BRG_Product_Certificate!$B:$B,$A4)</f>
        <v>4</v>
      </c>
      <c r="H4" s="10">
        <f>COUNTIFS(BRG_Product_Media!$B:$B,$A4)</f>
        <v>1</v>
      </c>
      <c r="I4" s="9" t="str">
        <f>INDEX('RAW_Company'!$C:$C,MATCH('RAW_Product'!B4,'RAW_Company'!$A:$A,0))</f>
        <v>Mekong Delta Pride Agri-Aqua JSC</v>
      </c>
    </row>
    <row r="5" spans="1:9" x14ac:dyDescent="0.45">
      <c r="A5" s="9" t="str">
        <f>'RAW_Product'!A5</f>
        <v>P002</v>
      </c>
      <c r="B5" s="9" t="str">
        <f>'RAW_Product'!D5</f>
        <v>Frozen Vannamei Shrimp (PD/PUD)</v>
      </c>
      <c r="C5" s="9" t="str">
        <f>'RAW_Product'!C5</f>
        <v>Tôm thẻ đông lạnh bóc vỏ</v>
      </c>
      <c r="D5" s="9" t="str">
        <f>'RAW_Product'!E5</f>
        <v>0306.17.00</v>
      </c>
      <c r="E5" s="9" t="str">
        <f>'RAW_Product'!J5</f>
        <v>1×40ft</v>
      </c>
      <c r="F5" s="9" t="str">
        <f>'RAW_Product'!K5</f>
        <v>800 tấn/tháng</v>
      </c>
      <c r="G5" s="10">
        <f>COUNTIFS(BRG_Product_Certificate!$B:$B,$A5)</f>
        <v>4</v>
      </c>
      <c r="H5" s="10">
        <f>COUNTIFS(BRG_Product_Media!$B:$B,$A5)</f>
        <v>1</v>
      </c>
      <c r="I5" s="9" t="str">
        <f>INDEX('RAW_Company'!$C:$C,MATCH('RAW_Product'!B5,'RAW_Company'!$A:$A,0))</f>
        <v>Mekong Delta Pride Agri-Aqua JSC</v>
      </c>
    </row>
    <row r="6" spans="1:9" x14ac:dyDescent="0.45">
      <c r="A6" s="9" t="str">
        <f>'RAW_Product'!A6</f>
        <v>P003</v>
      </c>
      <c r="B6" s="9" t="str">
        <f>'RAW_Product'!D6</f>
        <v>Frozen Pangasius Fillet</v>
      </c>
      <c r="C6" s="9" t="str">
        <f>'RAW_Product'!C6</f>
        <v>Cá tra fillet đông lạnh</v>
      </c>
      <c r="D6" s="9" t="str">
        <f>'RAW_Product'!E6</f>
        <v>0304.62.00</v>
      </c>
      <c r="E6" s="9" t="str">
        <f>'RAW_Product'!J6</f>
        <v>1×40ft</v>
      </c>
      <c r="F6" s="9" t="str">
        <f>'RAW_Product'!K6</f>
        <v>1.500 tấn/tháng</v>
      </c>
      <c r="G6" s="10">
        <f>COUNTIFS(BRG_Product_Certificate!$B:$B,$A6)</f>
        <v>5</v>
      </c>
      <c r="H6" s="10">
        <f>COUNTIFS(BRG_Product_Media!$B:$B,$A6)</f>
        <v>1</v>
      </c>
      <c r="I6" s="9" t="str">
        <f>INDEX('RAW_Company'!$C:$C,MATCH('RAW_Product'!B6,'RAW_Company'!$A:$A,0))</f>
        <v>Mekong Delta Pride Agri-Aqua JSC</v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6"/>
  <sheetViews>
    <sheetView showGridLines="0" workbookViewId="0"/>
  </sheetViews>
  <sheetFormatPr defaultRowHeight="14.25" x14ac:dyDescent="0.45"/>
  <cols>
    <col min="1" max="1" width="26" customWidth="1"/>
    <col min="2" max="2" width="70" customWidth="1"/>
  </cols>
  <sheetData>
    <row r="1" spans="1:4" ht="26" customHeight="1" x14ac:dyDescent="0.45">
      <c r="A1" s="38" t="s">
        <v>320</v>
      </c>
      <c r="B1" s="39"/>
      <c r="C1" s="39"/>
      <c r="D1" s="39"/>
    </row>
    <row r="3" spans="1:4" x14ac:dyDescent="0.45">
      <c r="A3" s="8" t="s">
        <v>321</v>
      </c>
      <c r="B3" s="11" t="s">
        <v>87</v>
      </c>
    </row>
    <row r="5" spans="1:4" x14ac:dyDescent="0.45">
      <c r="A5" s="7" t="s">
        <v>298</v>
      </c>
      <c r="B5" s="7" t="s">
        <v>299</v>
      </c>
    </row>
    <row r="6" spans="1:4" x14ac:dyDescent="0.45">
      <c r="A6" s="8" t="s">
        <v>313</v>
      </c>
      <c r="B6" s="9" t="str">
        <f>INDEX('RAW_Product'!$D:$D,MATCH($B$3,'RAW_Product'!$A:$A,0))</f>
        <v>Frozen Durian (Ri6 &amp; Monthong)</v>
      </c>
    </row>
    <row r="7" spans="1:4" x14ac:dyDescent="0.45">
      <c r="A7" s="8" t="s">
        <v>322</v>
      </c>
      <c r="B7" s="9" t="str">
        <f>INDEX('RAW_Product'!$C:$C,MATCH($B$3,'RAW_Product'!$A:$A,0))</f>
        <v>Sầu riêng đông lạnh nguyên múi</v>
      </c>
    </row>
    <row r="8" spans="1:4" x14ac:dyDescent="0.45">
      <c r="A8" s="8" t="s">
        <v>315</v>
      </c>
      <c r="B8" s="9" t="str">
        <f>INDEX('RAW_Product'!$E:$E,MATCH($B$3,'RAW_Product'!$A:$A,0))</f>
        <v>0811.90.00</v>
      </c>
    </row>
    <row r="9" spans="1:4" x14ac:dyDescent="0.45">
      <c r="A9" s="8" t="s">
        <v>80</v>
      </c>
      <c r="B9" s="9" t="str">
        <f>INDEX('RAW_Product'!$F:$F,MATCH($B$3,'RAW_Product'!$A:$A,0))</f>
        <v>Múi 100–150g; whole 1.8–3.5kg</v>
      </c>
    </row>
    <row r="10" spans="1:4" x14ac:dyDescent="0.45">
      <c r="A10" s="8" t="s">
        <v>81</v>
      </c>
      <c r="B10" s="9" t="str">
        <f>INDEX('RAW_Product'!$G:$G,MATCH($B$3,'RAW_Product'!$A:$A,0))</f>
        <v>1kg/túi × 10 túi/thùng</v>
      </c>
    </row>
    <row r="11" spans="1:4" x14ac:dyDescent="0.45">
      <c r="A11" s="8" t="s">
        <v>323</v>
      </c>
      <c r="B11" s="9" t="str">
        <f>INDEX('RAW_Product'!$H:$H,MATCH($B$3,'RAW_Product'!$A:$A,0))</f>
        <v>24 tháng</v>
      </c>
    </row>
    <row r="12" spans="1:4" x14ac:dyDescent="0.45">
      <c r="A12" s="8" t="s">
        <v>83</v>
      </c>
      <c r="B12" s="9" t="str">
        <f>INDEX('RAW_Product'!$I:$I,MATCH($B$3,'RAW_Product'!$A:$A,0))</f>
        <v>-18°C</v>
      </c>
    </row>
    <row r="13" spans="1:4" x14ac:dyDescent="0.45">
      <c r="A13" s="8" t="s">
        <v>84</v>
      </c>
      <c r="B13" s="9" t="str">
        <f>INDEX('RAW_Product'!$J:$J,MATCH($B$3,'RAW_Product'!$A:$A,0))</f>
        <v>1×40ft (25 tấn)</v>
      </c>
    </row>
    <row r="14" spans="1:4" x14ac:dyDescent="0.45">
      <c r="A14" s="8" t="s">
        <v>316</v>
      </c>
      <c r="B14" s="9" t="str">
        <f>INDEX('RAW_Product'!$K:$K,MATCH($B$3,'RAW_Product'!$A:$A,0))</f>
        <v>1.200 tấn/tháng</v>
      </c>
    </row>
    <row r="15" spans="1:4" x14ac:dyDescent="0.45">
      <c r="A15" s="8" t="s">
        <v>86</v>
      </c>
      <c r="B15" s="9" t="str">
        <f>INDEX('RAW_Product'!$L:$L,MATCH($B$3,'RAW_Product'!$A:$A,0))</f>
        <v>Cấp đông IQF giữ nguyên vị, tách múi thủ công, mã vùng trồng xuất TQ chính ngạch</v>
      </c>
    </row>
    <row r="17" spans="1:2" ht="26.25" x14ac:dyDescent="0.45">
      <c r="A17" s="8" t="s">
        <v>324</v>
      </c>
    </row>
    <row r="18" spans="1:2" x14ac:dyDescent="0.45">
      <c r="A18" s="7" t="s">
        <v>117</v>
      </c>
      <c r="B18" s="7" t="s">
        <v>325</v>
      </c>
    </row>
    <row r="19" spans="1:2" x14ac:dyDescent="0.45">
      <c r="A19" s="9" t="str">
        <f>'RAW_Certificate'!A4</f>
        <v>CT001</v>
      </c>
      <c r="B19" s="10" t="str">
        <f>IF(COUNTIFS(BRG_Product_Certificate!$B:$B,$B$3,BRG_Product_Certificate!$C:$C,'RAW_Certificate'!A4)&gt;0,"X","")</f>
        <v>X</v>
      </c>
    </row>
    <row r="20" spans="1:2" x14ac:dyDescent="0.45">
      <c r="A20" s="9" t="str">
        <f>'RAW_Certificate'!A5</f>
        <v>CT002</v>
      </c>
      <c r="B20" s="10" t="str">
        <f>IF(COUNTIFS(BRG_Product_Certificate!$B:$B,$B$3,BRG_Product_Certificate!$C:$C,'RAW_Certificate'!A5)&gt;0,"X","")</f>
        <v>X</v>
      </c>
    </row>
    <row r="21" spans="1:2" x14ac:dyDescent="0.45">
      <c r="A21" s="9" t="str">
        <f>'RAW_Certificate'!A6</f>
        <v>CT003</v>
      </c>
      <c r="B21" s="10" t="str">
        <f>IF(COUNTIFS(BRG_Product_Certificate!$B:$B,$B$3,BRG_Product_Certificate!$C:$C,'RAW_Certificate'!A6)&gt;0,"X","")</f>
        <v/>
      </c>
    </row>
    <row r="22" spans="1:2" x14ac:dyDescent="0.45">
      <c r="A22" s="9" t="str">
        <f>'RAW_Certificate'!A7</f>
        <v>CT004</v>
      </c>
      <c r="B22" s="10" t="str">
        <f>IF(COUNTIFS(BRG_Product_Certificate!$B:$B,$B$3,BRG_Product_Certificate!$C:$C,'RAW_Certificate'!A7)&gt;0,"X","")</f>
        <v>X</v>
      </c>
    </row>
    <row r="23" spans="1:2" x14ac:dyDescent="0.45">
      <c r="A23" s="9" t="str">
        <f>'RAW_Certificate'!A8</f>
        <v>CT005</v>
      </c>
      <c r="B23" s="10" t="str">
        <f>IF(COUNTIFS(BRG_Product_Certificate!$B:$B,$B$3,BRG_Product_Certificate!$C:$C,'RAW_Certificate'!A8)&gt;0,"X","")</f>
        <v/>
      </c>
    </row>
    <row r="24" spans="1:2" x14ac:dyDescent="0.45">
      <c r="A24" s="9" t="str">
        <f>'RAW_Certificate'!A9</f>
        <v>CT006</v>
      </c>
      <c r="B24" s="10" t="str">
        <f>IF(COUNTIFS(BRG_Product_Certificate!$B:$B,$B$3,BRG_Product_Certificate!$C:$C,'RAW_Certificate'!A9)&gt;0,"X","")</f>
        <v>X</v>
      </c>
    </row>
    <row r="25" spans="1:2" x14ac:dyDescent="0.45">
      <c r="A25" s="9" t="str">
        <f>'RAW_Certificate'!A10</f>
        <v>CT007</v>
      </c>
      <c r="B25" s="10" t="str">
        <f>IF(COUNTIFS(BRG_Product_Certificate!$B:$B,$B$3,BRG_Product_Certificate!$C:$C,'RAW_Certificate'!A10)&gt;0,"X","")</f>
        <v/>
      </c>
    </row>
    <row r="26" spans="1:2" x14ac:dyDescent="0.45">
      <c r="A26" s="9" t="str">
        <f>'RAW_Certificate'!A11</f>
        <v>CT008</v>
      </c>
      <c r="B26" s="10" t="str">
        <f>IF(COUNTIFS(BRG_Product_Certificate!$B:$B,$B$3,BRG_Product_Certificate!$C:$C,'RAW_Certificate'!A11)&gt;0,"X","")</f>
        <v/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"/>
  <sheetViews>
    <sheetView showGridLines="0" workbookViewId="0"/>
  </sheetViews>
  <sheetFormatPr defaultRowHeight="14.25" x14ac:dyDescent="0.45"/>
  <cols>
    <col min="1" max="1" width="30" customWidth="1"/>
    <col min="2" max="9" width="14" customWidth="1"/>
  </cols>
  <sheetData>
    <row r="1" spans="1:9" ht="26" customHeight="1" x14ac:dyDescent="0.45">
      <c r="A1" s="38" t="s">
        <v>326</v>
      </c>
      <c r="B1" s="39"/>
      <c r="C1" s="39"/>
      <c r="D1" s="39"/>
      <c r="E1" s="39"/>
      <c r="F1" s="39"/>
      <c r="G1" s="39"/>
      <c r="H1" s="39"/>
      <c r="I1" s="39"/>
    </row>
    <row r="3" spans="1:9" ht="39.4" x14ac:dyDescent="0.45">
      <c r="A3" s="12" t="s">
        <v>327</v>
      </c>
      <c r="B3" s="4" t="s">
        <v>124</v>
      </c>
      <c r="C3" s="4" t="s">
        <v>130</v>
      </c>
      <c r="D3" s="4" t="s">
        <v>136</v>
      </c>
      <c r="E3" s="4" t="s">
        <v>141</v>
      </c>
      <c r="F3" s="4" t="s">
        <v>146</v>
      </c>
      <c r="G3" s="4" t="s">
        <v>151</v>
      </c>
      <c r="H3" s="4" t="s">
        <v>156</v>
      </c>
      <c r="I3" s="4" t="s">
        <v>161</v>
      </c>
    </row>
    <row r="4" spans="1:9" x14ac:dyDescent="0.45">
      <c r="A4" s="8" t="str">
        <f>'RAW_Product'!D4</f>
        <v>Frozen Durian (Ri6 &amp; Monthong)</v>
      </c>
      <c r="B4" s="10" t="str">
        <f>IF(COUNTIFS(BRG_Product_Certificate!$B:$B,'RAW_Product'!$A4,BRG_Product_Certificate!$C:$C,'RAW_Certificate'!$A$4)&gt;0,"X","")</f>
        <v>X</v>
      </c>
      <c r="C4" s="10" t="str">
        <f>IF(COUNTIFS(BRG_Product_Certificate!$B:$B,'RAW_Product'!$A4,BRG_Product_Certificate!$C:$C,'RAW_Certificate'!$A$5)&gt;0,"X","")</f>
        <v>X</v>
      </c>
      <c r="D4" s="10" t="str">
        <f>IF(COUNTIFS(BRG_Product_Certificate!$B:$B,'RAW_Product'!$A4,BRG_Product_Certificate!$C:$C,'RAW_Certificate'!$A$6)&gt;0,"X","")</f>
        <v/>
      </c>
      <c r="E4" s="10" t="str">
        <f>IF(COUNTIFS(BRG_Product_Certificate!$B:$B,'RAW_Product'!$A4,BRG_Product_Certificate!$C:$C,'RAW_Certificate'!$A$7)&gt;0,"X","")</f>
        <v>X</v>
      </c>
      <c r="F4" s="10" t="str">
        <f>IF(COUNTIFS(BRG_Product_Certificate!$B:$B,'RAW_Product'!$A4,BRG_Product_Certificate!$C:$C,'RAW_Certificate'!$A$8)&gt;0,"X","")</f>
        <v/>
      </c>
      <c r="G4" s="10" t="str">
        <f>IF(COUNTIFS(BRG_Product_Certificate!$B:$B,'RAW_Product'!$A4,BRG_Product_Certificate!$C:$C,'RAW_Certificate'!$A$9)&gt;0,"X","")</f>
        <v>X</v>
      </c>
      <c r="H4" s="10" t="str">
        <f>IF(COUNTIFS(BRG_Product_Certificate!$B:$B,'RAW_Product'!$A4,BRG_Product_Certificate!$C:$C,'RAW_Certificate'!$A$10)&gt;0,"X","")</f>
        <v/>
      </c>
      <c r="I4" s="10" t="str">
        <f>IF(COUNTIFS(BRG_Product_Certificate!$B:$B,'RAW_Product'!$A4,BRG_Product_Certificate!$C:$C,'RAW_Certificate'!$A$11)&gt;0,"X","")</f>
        <v/>
      </c>
    </row>
    <row r="5" spans="1:9" x14ac:dyDescent="0.45">
      <c r="A5" s="8" t="str">
        <f>'RAW_Product'!D5</f>
        <v>Frozen Vannamei Shrimp (PD/PUD)</v>
      </c>
      <c r="B5" s="10" t="str">
        <f>IF(COUNTIFS(BRG_Product_Certificate!$B:$B,'RAW_Product'!$A5,BRG_Product_Certificate!$C:$C,'RAW_Certificate'!$A$4)&gt;0,"X","")</f>
        <v>X</v>
      </c>
      <c r="C5" s="10" t="str">
        <f>IF(COUNTIFS(BRG_Product_Certificate!$B:$B,'RAW_Product'!$A5,BRG_Product_Certificate!$C:$C,'RAW_Certificate'!$A$5)&gt;0,"X","")</f>
        <v/>
      </c>
      <c r="D5" s="10" t="str">
        <f>IF(COUNTIFS(BRG_Product_Certificate!$B:$B,'RAW_Product'!$A5,BRG_Product_Certificate!$C:$C,'RAW_Certificate'!$A$6)&gt;0,"X","")</f>
        <v>X</v>
      </c>
      <c r="E5" s="10" t="str">
        <f>IF(COUNTIFS(BRG_Product_Certificate!$B:$B,'RAW_Product'!$A5,BRG_Product_Certificate!$C:$C,'RAW_Certificate'!$A$7)&gt;0,"X","")</f>
        <v/>
      </c>
      <c r="F5" s="10" t="str">
        <f>IF(COUNTIFS(BRG_Product_Certificate!$B:$B,'RAW_Product'!$A5,BRG_Product_Certificate!$C:$C,'RAW_Certificate'!$A$8)&gt;0,"X","")</f>
        <v>X</v>
      </c>
      <c r="G5" s="10" t="str">
        <f>IF(COUNTIFS(BRG_Product_Certificate!$B:$B,'RAW_Product'!$A5,BRG_Product_Certificate!$C:$C,'RAW_Certificate'!$A$9)&gt;0,"X","")</f>
        <v/>
      </c>
      <c r="H5" s="10" t="str">
        <f>IF(COUNTIFS(BRG_Product_Certificate!$B:$B,'RAW_Product'!$A5,BRG_Product_Certificate!$C:$C,'RAW_Certificate'!$A$10)&gt;0,"X","")</f>
        <v>X</v>
      </c>
      <c r="I5" s="10" t="str">
        <f>IF(COUNTIFS(BRG_Product_Certificate!$B:$B,'RAW_Product'!$A5,BRG_Product_Certificate!$C:$C,'RAW_Certificate'!$A$11)&gt;0,"X","")</f>
        <v/>
      </c>
    </row>
    <row r="6" spans="1:9" x14ac:dyDescent="0.45">
      <c r="A6" s="8" t="str">
        <f>'RAW_Product'!D6</f>
        <v>Frozen Pangasius Fillet</v>
      </c>
      <c r="B6" s="10" t="str">
        <f>IF(COUNTIFS(BRG_Product_Certificate!$B:$B,'RAW_Product'!$A6,BRG_Product_Certificate!$C:$C,'RAW_Certificate'!$A$4)&gt;0,"X","")</f>
        <v/>
      </c>
      <c r="C6" s="10" t="str">
        <f>IF(COUNTIFS(BRG_Product_Certificate!$B:$B,'RAW_Product'!$A6,BRG_Product_Certificate!$C:$C,'RAW_Certificate'!$A$5)&gt;0,"X","")</f>
        <v>X</v>
      </c>
      <c r="D6" s="10" t="str">
        <f>IF(COUNTIFS(BRG_Product_Certificate!$B:$B,'RAW_Product'!$A6,BRG_Product_Certificate!$C:$C,'RAW_Certificate'!$A$6)&gt;0,"X","")</f>
        <v>X</v>
      </c>
      <c r="E6" s="10" t="str">
        <f>IF(COUNTIFS(BRG_Product_Certificate!$B:$B,'RAW_Product'!$A6,BRG_Product_Certificate!$C:$C,'RAW_Certificate'!$A$7)&gt;0,"X","")</f>
        <v>X</v>
      </c>
      <c r="F6" s="10" t="str">
        <f>IF(COUNTIFS(BRG_Product_Certificate!$B:$B,'RAW_Product'!$A6,BRG_Product_Certificate!$C:$C,'RAW_Certificate'!$A$8)&gt;0,"X","")</f>
        <v>X</v>
      </c>
      <c r="G6" s="10" t="str">
        <f>IF(COUNTIFS(BRG_Product_Certificate!$B:$B,'RAW_Product'!$A6,BRG_Product_Certificate!$C:$C,'RAW_Certificate'!$A$9)&gt;0,"X","")</f>
        <v/>
      </c>
      <c r="H6" s="10" t="str">
        <f>IF(COUNTIFS(BRG_Product_Certificate!$B:$B,'RAW_Product'!$A6,BRG_Product_Certificate!$C:$C,'RAW_Certificate'!$A$10)&gt;0,"X","")</f>
        <v/>
      </c>
      <c r="I6" s="10" t="str">
        <f>IF(COUNTIFS(BRG_Product_Certificate!$B:$B,'RAW_Product'!$A6,BRG_Product_Certificate!$C:$C,'RAW_Certificate'!$A$11)&gt;0,"X","")</f>
        <v>X</v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4"/>
  <sheetViews>
    <sheetView showGridLines="0" workbookViewId="0"/>
  </sheetViews>
  <sheetFormatPr defaultRowHeight="14.25" x14ac:dyDescent="0.45"/>
  <cols>
    <col min="1" max="1" width="26" customWidth="1"/>
    <col min="2" max="2" width="20" customWidth="1"/>
    <col min="3" max="3" width="24" customWidth="1"/>
    <col min="4" max="4" width="18" customWidth="1"/>
    <col min="5" max="5" width="16" customWidth="1"/>
  </cols>
  <sheetData>
    <row r="1" spans="1:5" ht="26" customHeight="1" x14ac:dyDescent="0.45">
      <c r="A1" s="38" t="s">
        <v>328</v>
      </c>
      <c r="B1" s="39"/>
      <c r="C1" s="39"/>
      <c r="D1" s="39"/>
      <c r="E1" s="39"/>
    </row>
    <row r="3" spans="1:5" x14ac:dyDescent="0.45">
      <c r="A3" s="12" t="s">
        <v>329</v>
      </c>
      <c r="B3" s="12" t="s">
        <v>330</v>
      </c>
      <c r="C3" s="12" t="s">
        <v>331</v>
      </c>
      <c r="D3" s="12" t="s">
        <v>332</v>
      </c>
      <c r="E3" s="12" t="s">
        <v>333</v>
      </c>
    </row>
    <row r="4" spans="1:5" x14ac:dyDescent="0.45">
      <c r="A4" s="9" t="s">
        <v>334</v>
      </c>
      <c r="B4" s="9" t="s">
        <v>39</v>
      </c>
      <c r="C4" s="9" t="s">
        <v>335</v>
      </c>
      <c r="D4" s="9" t="s">
        <v>39</v>
      </c>
      <c r="E4" s="9" t="s">
        <v>336</v>
      </c>
    </row>
    <row r="5" spans="1:5" x14ac:dyDescent="0.45">
      <c r="A5" s="9" t="s">
        <v>337</v>
      </c>
      <c r="B5" s="9" t="s">
        <v>76</v>
      </c>
      <c r="C5" s="9" t="s">
        <v>334</v>
      </c>
      <c r="D5" s="9" t="s">
        <v>76</v>
      </c>
      <c r="E5" s="9" t="s">
        <v>336</v>
      </c>
    </row>
    <row r="6" spans="1:5" x14ac:dyDescent="0.45">
      <c r="A6" s="9" t="s">
        <v>337</v>
      </c>
      <c r="B6" s="9" t="s">
        <v>117</v>
      </c>
      <c r="C6" s="9" t="s">
        <v>338</v>
      </c>
      <c r="D6" s="9" t="s">
        <v>117</v>
      </c>
      <c r="E6" s="9" t="s">
        <v>336</v>
      </c>
    </row>
    <row r="7" spans="1:5" x14ac:dyDescent="0.45">
      <c r="A7" s="9" t="s">
        <v>339</v>
      </c>
      <c r="B7" s="9" t="s">
        <v>76</v>
      </c>
      <c r="C7" s="9" t="s">
        <v>334</v>
      </c>
      <c r="D7" s="9" t="s">
        <v>76</v>
      </c>
      <c r="E7" s="9" t="s">
        <v>336</v>
      </c>
    </row>
    <row r="8" spans="1:5" x14ac:dyDescent="0.45">
      <c r="A8" s="9" t="s">
        <v>339</v>
      </c>
      <c r="B8" s="9" t="s">
        <v>167</v>
      </c>
      <c r="C8" s="9" t="s">
        <v>340</v>
      </c>
      <c r="D8" s="9" t="s">
        <v>167</v>
      </c>
      <c r="E8" s="9" t="s">
        <v>336</v>
      </c>
    </row>
    <row r="9" spans="1:5" x14ac:dyDescent="0.45">
      <c r="A9" s="9" t="s">
        <v>341</v>
      </c>
      <c r="B9" s="9" t="s">
        <v>39</v>
      </c>
      <c r="C9" s="9" t="s">
        <v>335</v>
      </c>
      <c r="D9" s="9" t="s">
        <v>39</v>
      </c>
      <c r="E9" s="9" t="s">
        <v>336</v>
      </c>
    </row>
    <row r="10" spans="1:5" x14ac:dyDescent="0.45">
      <c r="A10" s="9" t="s">
        <v>341</v>
      </c>
      <c r="B10" s="9" t="s">
        <v>117</v>
      </c>
      <c r="C10" s="9" t="s">
        <v>338</v>
      </c>
      <c r="D10" s="9" t="s">
        <v>117</v>
      </c>
      <c r="E10" s="9" t="s">
        <v>336</v>
      </c>
    </row>
    <row r="11" spans="1:5" x14ac:dyDescent="0.45">
      <c r="A11" s="9" t="s">
        <v>342</v>
      </c>
      <c r="B11" s="9" t="s">
        <v>39</v>
      </c>
      <c r="C11" s="9" t="s">
        <v>335</v>
      </c>
      <c r="D11" s="9" t="s">
        <v>39</v>
      </c>
      <c r="E11" s="9" t="s">
        <v>336</v>
      </c>
    </row>
    <row r="12" spans="1:5" x14ac:dyDescent="0.45">
      <c r="A12" s="9" t="s">
        <v>342</v>
      </c>
      <c r="B12" s="9" t="s">
        <v>194</v>
      </c>
      <c r="C12" s="9" t="s">
        <v>343</v>
      </c>
      <c r="D12" s="9" t="s">
        <v>194</v>
      </c>
      <c r="E12" s="9" t="s">
        <v>336</v>
      </c>
    </row>
    <row r="14" spans="1:5" x14ac:dyDescent="0.45">
      <c r="A14" s="41" t="s">
        <v>344</v>
      </c>
      <c r="B14" s="39"/>
      <c r="C14" s="39"/>
      <c r="D14" s="39"/>
      <c r="E14" s="39"/>
    </row>
  </sheetData>
  <mergeCells count="2">
    <mergeCell ref="A1:E1"/>
    <mergeCell ref="A14:E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8" customWidth="1"/>
    <col min="2" max="2" width="26" customWidth="1"/>
    <col min="3" max="3" width="30" customWidth="1"/>
    <col min="4" max="4" width="52" customWidth="1"/>
    <col min="5" max="6" width="13" customWidth="1"/>
    <col min="7" max="7" width="11" customWidth="1"/>
    <col min="8" max="8" width="48" customWidth="1"/>
  </cols>
  <sheetData>
    <row r="1" spans="1:8" ht="17.649999999999999" x14ac:dyDescent="0.5">
      <c r="A1" s="19" t="s">
        <v>345</v>
      </c>
    </row>
    <row r="2" spans="1:8" x14ac:dyDescent="0.45">
      <c r="A2" s="20" t="s">
        <v>346</v>
      </c>
    </row>
    <row r="3" spans="1:8" ht="30" customHeight="1" x14ac:dyDescent="0.45">
      <c r="A3" s="21" t="s">
        <v>347</v>
      </c>
      <c r="B3" s="21" t="s">
        <v>348</v>
      </c>
      <c r="C3" s="21" t="s">
        <v>349</v>
      </c>
      <c r="D3" s="21" t="s">
        <v>350</v>
      </c>
      <c r="E3" s="21" t="s">
        <v>351</v>
      </c>
      <c r="F3" s="21" t="s">
        <v>352</v>
      </c>
      <c r="G3" s="21" t="s">
        <v>353</v>
      </c>
      <c r="H3" s="21" t="s">
        <v>354</v>
      </c>
    </row>
    <row r="4" spans="1:8" ht="25.5" x14ac:dyDescent="0.45">
      <c r="A4" s="22" t="s">
        <v>355</v>
      </c>
      <c r="B4" s="18" t="s">
        <v>356</v>
      </c>
      <c r="C4" s="18" t="s">
        <v>357</v>
      </c>
      <c r="D4" s="18" t="s">
        <v>358</v>
      </c>
      <c r="E4" s="22" t="s">
        <v>359</v>
      </c>
      <c r="F4" s="22" t="s">
        <v>359</v>
      </c>
      <c r="G4" s="22" t="s">
        <v>360</v>
      </c>
      <c r="H4" s="18" t="s">
        <v>361</v>
      </c>
    </row>
    <row r="5" spans="1:8" ht="25.5" x14ac:dyDescent="0.45">
      <c r="A5" s="22" t="s">
        <v>362</v>
      </c>
      <c r="B5" s="18" t="s">
        <v>363</v>
      </c>
      <c r="C5" s="18" t="s">
        <v>364</v>
      </c>
      <c r="D5" s="18" t="s">
        <v>365</v>
      </c>
      <c r="E5" s="22" t="s">
        <v>366</v>
      </c>
      <c r="F5" s="22" t="s">
        <v>366</v>
      </c>
      <c r="G5" s="22" t="s">
        <v>359</v>
      </c>
      <c r="H5" s="18" t="s">
        <v>367</v>
      </c>
    </row>
    <row r="6" spans="1:8" ht="25.5" x14ac:dyDescent="0.45">
      <c r="A6" s="22" t="s">
        <v>368</v>
      </c>
      <c r="B6" s="18" t="s">
        <v>369</v>
      </c>
      <c r="C6" s="18" t="s">
        <v>370</v>
      </c>
      <c r="D6" s="18" t="s">
        <v>371</v>
      </c>
      <c r="E6" s="22" t="s">
        <v>372</v>
      </c>
      <c r="F6" s="22" t="s">
        <v>360</v>
      </c>
      <c r="G6" s="22" t="s">
        <v>373</v>
      </c>
      <c r="H6" s="18" t="s">
        <v>374</v>
      </c>
    </row>
    <row r="7" spans="1:8" ht="25.5" x14ac:dyDescent="0.45">
      <c r="A7" s="22" t="s">
        <v>375</v>
      </c>
      <c r="B7" s="18" t="s">
        <v>376</v>
      </c>
      <c r="C7" s="22" t="s">
        <v>377</v>
      </c>
      <c r="D7" s="18" t="s">
        <v>378</v>
      </c>
      <c r="E7" s="22" t="s">
        <v>360</v>
      </c>
      <c r="F7" s="22" t="s">
        <v>373</v>
      </c>
      <c r="G7" s="22" t="s">
        <v>360</v>
      </c>
      <c r="H7" s="18" t="s">
        <v>379</v>
      </c>
    </row>
    <row r="8" spans="1:8" ht="25.5" x14ac:dyDescent="0.45">
      <c r="A8" s="22" t="s">
        <v>380</v>
      </c>
      <c r="B8" s="22" t="s">
        <v>381</v>
      </c>
      <c r="C8" s="18" t="s">
        <v>382</v>
      </c>
      <c r="D8" s="18" t="s">
        <v>383</v>
      </c>
      <c r="E8" s="22" t="s">
        <v>384</v>
      </c>
      <c r="F8" s="22" t="s">
        <v>385</v>
      </c>
      <c r="G8" s="22" t="s">
        <v>386</v>
      </c>
      <c r="H8" s="18" t="s">
        <v>387</v>
      </c>
    </row>
    <row r="9" spans="1:8" ht="25.5" x14ac:dyDescent="0.45">
      <c r="A9" s="22" t="s">
        <v>388</v>
      </c>
      <c r="B9" s="22" t="s">
        <v>389</v>
      </c>
      <c r="C9" s="22" t="s">
        <v>390</v>
      </c>
      <c r="D9" s="18" t="s">
        <v>391</v>
      </c>
      <c r="E9" s="22" t="s">
        <v>392</v>
      </c>
      <c r="F9" s="22" t="s">
        <v>384</v>
      </c>
      <c r="G9" s="22" t="s">
        <v>384</v>
      </c>
      <c r="H9" s="18" t="s">
        <v>393</v>
      </c>
    </row>
    <row r="10" spans="1:8" ht="25.5" x14ac:dyDescent="0.45">
      <c r="A10" s="22" t="s">
        <v>394</v>
      </c>
      <c r="B10" s="18" t="s">
        <v>395</v>
      </c>
      <c r="C10" s="18" t="s">
        <v>396</v>
      </c>
      <c r="D10" s="18" t="s">
        <v>397</v>
      </c>
      <c r="E10" s="22" t="s">
        <v>360</v>
      </c>
      <c r="F10" s="22" t="s">
        <v>373</v>
      </c>
      <c r="G10" s="22" t="s">
        <v>384</v>
      </c>
      <c r="H10" s="18" t="s">
        <v>398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9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8" customWidth="1"/>
    <col min="2" max="2" width="14" customWidth="1"/>
    <col min="3" max="3" width="42" customWidth="1"/>
    <col min="4" max="4" width="34" customWidth="1"/>
    <col min="5" max="5" width="40" customWidth="1"/>
    <col min="6" max="6" width="46" customWidth="1"/>
  </cols>
  <sheetData>
    <row r="1" spans="1:6" ht="17.649999999999999" x14ac:dyDescent="0.5">
      <c r="A1" s="19" t="s">
        <v>399</v>
      </c>
    </row>
    <row r="2" spans="1:6" x14ac:dyDescent="0.45">
      <c r="A2" s="20" t="s">
        <v>400</v>
      </c>
    </row>
    <row r="3" spans="1:6" ht="30" customHeight="1" x14ac:dyDescent="0.45">
      <c r="A3" s="21" t="s">
        <v>194</v>
      </c>
      <c r="B3" s="21" t="s">
        <v>196</v>
      </c>
      <c r="C3" s="21" t="s">
        <v>401</v>
      </c>
      <c r="D3" s="21" t="s">
        <v>402</v>
      </c>
      <c r="E3" s="21" t="s">
        <v>403</v>
      </c>
      <c r="F3" s="21" t="s">
        <v>404</v>
      </c>
    </row>
    <row r="4" spans="1:6" ht="25.5" x14ac:dyDescent="0.45">
      <c r="A4" s="22" t="s">
        <v>203</v>
      </c>
      <c r="B4" s="22" t="s">
        <v>205</v>
      </c>
      <c r="C4" s="18" t="s">
        <v>405</v>
      </c>
      <c r="D4" s="18" t="s">
        <v>406</v>
      </c>
      <c r="E4" s="18" t="s">
        <v>407</v>
      </c>
      <c r="F4" s="18" t="s">
        <v>408</v>
      </c>
    </row>
    <row r="5" spans="1:6" ht="25.5" x14ac:dyDescent="0.45">
      <c r="A5" s="22" t="s">
        <v>211</v>
      </c>
      <c r="B5" s="22" t="s">
        <v>213</v>
      </c>
      <c r="C5" s="18" t="s">
        <v>409</v>
      </c>
      <c r="D5" s="18" t="s">
        <v>410</v>
      </c>
      <c r="E5" s="18" t="s">
        <v>411</v>
      </c>
      <c r="F5" s="18" t="s">
        <v>412</v>
      </c>
    </row>
    <row r="6" spans="1:6" ht="25.5" x14ac:dyDescent="0.45">
      <c r="A6" s="22" t="s">
        <v>219</v>
      </c>
      <c r="B6" s="22" t="s">
        <v>221</v>
      </c>
      <c r="C6" s="18" t="s">
        <v>413</v>
      </c>
      <c r="D6" s="18" t="s">
        <v>414</v>
      </c>
      <c r="E6" s="18" t="s">
        <v>415</v>
      </c>
      <c r="F6" s="18" t="s">
        <v>416</v>
      </c>
    </row>
    <row r="7" spans="1:6" ht="25.5" x14ac:dyDescent="0.45">
      <c r="A7" s="22" t="s">
        <v>226</v>
      </c>
      <c r="B7" s="22" t="s">
        <v>228</v>
      </c>
      <c r="C7" s="18" t="s">
        <v>417</v>
      </c>
      <c r="D7" s="18" t="s">
        <v>418</v>
      </c>
      <c r="E7" s="18" t="s">
        <v>419</v>
      </c>
      <c r="F7" s="18" t="s">
        <v>420</v>
      </c>
    </row>
    <row r="8" spans="1:6" ht="25.5" x14ac:dyDescent="0.45">
      <c r="A8" s="22" t="s">
        <v>232</v>
      </c>
      <c r="B8" s="22" t="s">
        <v>234</v>
      </c>
      <c r="C8" s="18" t="s">
        <v>421</v>
      </c>
      <c r="D8" s="18" t="s">
        <v>422</v>
      </c>
      <c r="E8" s="18" t="s">
        <v>423</v>
      </c>
      <c r="F8" s="18" t="s">
        <v>424</v>
      </c>
    </row>
    <row r="9" spans="1:6" ht="25.5" x14ac:dyDescent="0.45">
      <c r="A9" s="22" t="s">
        <v>238</v>
      </c>
      <c r="B9" s="22" t="s">
        <v>240</v>
      </c>
      <c r="C9" s="18" t="s">
        <v>425</v>
      </c>
      <c r="D9" s="18" t="s">
        <v>426</v>
      </c>
      <c r="E9" s="18" t="s">
        <v>427</v>
      </c>
      <c r="F9" s="18" t="s">
        <v>428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2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2" width="9" customWidth="1"/>
    <col min="3" max="3" width="14" customWidth="1"/>
    <col min="4" max="4" width="40" customWidth="1"/>
    <col min="5" max="5" width="22" customWidth="1"/>
    <col min="6" max="6" width="52" customWidth="1"/>
    <col min="7" max="7" width="15" customWidth="1"/>
  </cols>
  <sheetData>
    <row r="1" spans="1:7" ht="17.649999999999999" x14ac:dyDescent="0.5">
      <c r="A1" s="19" t="s">
        <v>429</v>
      </c>
    </row>
    <row r="2" spans="1:7" x14ac:dyDescent="0.45">
      <c r="A2" s="20" t="s">
        <v>430</v>
      </c>
    </row>
    <row r="3" spans="1:7" ht="30" customHeight="1" x14ac:dyDescent="0.45">
      <c r="A3" s="21" t="s">
        <v>431</v>
      </c>
      <c r="B3" s="21" t="s">
        <v>194</v>
      </c>
      <c r="C3" s="21" t="s">
        <v>196</v>
      </c>
      <c r="D3" s="21" t="s">
        <v>432</v>
      </c>
      <c r="E3" s="21" t="s">
        <v>433</v>
      </c>
      <c r="F3" s="21" t="s">
        <v>434</v>
      </c>
      <c r="G3" s="21" t="s">
        <v>435</v>
      </c>
    </row>
    <row r="4" spans="1:7" ht="25.5" x14ac:dyDescent="0.45">
      <c r="A4" s="22" t="s">
        <v>436</v>
      </c>
      <c r="B4" s="22" t="s">
        <v>203</v>
      </c>
      <c r="C4" s="22" t="s">
        <v>205</v>
      </c>
      <c r="D4" s="18" t="s">
        <v>437</v>
      </c>
      <c r="E4" s="22" t="s">
        <v>438</v>
      </c>
      <c r="F4" s="18" t="s">
        <v>439</v>
      </c>
      <c r="G4" s="22" t="s">
        <v>440</v>
      </c>
    </row>
    <row r="5" spans="1:7" ht="25.5" x14ac:dyDescent="0.45">
      <c r="A5" s="22" t="s">
        <v>441</v>
      </c>
      <c r="B5" s="22" t="s">
        <v>203</v>
      </c>
      <c r="C5" s="22" t="s">
        <v>205</v>
      </c>
      <c r="D5" s="18" t="s">
        <v>442</v>
      </c>
      <c r="E5" s="22" t="s">
        <v>443</v>
      </c>
      <c r="F5" s="18" t="s">
        <v>444</v>
      </c>
      <c r="G5" s="22" t="s">
        <v>440</v>
      </c>
    </row>
    <row r="6" spans="1:7" ht="25.5" x14ac:dyDescent="0.45">
      <c r="A6" s="22" t="s">
        <v>445</v>
      </c>
      <c r="B6" s="22" t="s">
        <v>203</v>
      </c>
      <c r="C6" s="22" t="s">
        <v>205</v>
      </c>
      <c r="D6" s="18" t="s">
        <v>446</v>
      </c>
      <c r="E6" s="22" t="s">
        <v>447</v>
      </c>
      <c r="F6" s="18" t="s">
        <v>448</v>
      </c>
      <c r="G6" s="22" t="s">
        <v>449</v>
      </c>
    </row>
    <row r="7" spans="1:7" ht="25.5" x14ac:dyDescent="0.45">
      <c r="A7" s="22" t="s">
        <v>450</v>
      </c>
      <c r="B7" s="22" t="s">
        <v>211</v>
      </c>
      <c r="C7" s="22" t="s">
        <v>213</v>
      </c>
      <c r="D7" s="18" t="s">
        <v>451</v>
      </c>
      <c r="E7" s="22" t="s">
        <v>452</v>
      </c>
      <c r="F7" s="18" t="s">
        <v>453</v>
      </c>
      <c r="G7" s="22" t="s">
        <v>440</v>
      </c>
    </row>
    <row r="8" spans="1:7" ht="25.5" x14ac:dyDescent="0.45">
      <c r="A8" s="22" t="s">
        <v>454</v>
      </c>
      <c r="B8" s="22" t="s">
        <v>211</v>
      </c>
      <c r="C8" s="22" t="s">
        <v>213</v>
      </c>
      <c r="D8" s="18" t="s">
        <v>455</v>
      </c>
      <c r="E8" s="22" t="s">
        <v>456</v>
      </c>
      <c r="F8" s="18" t="s">
        <v>457</v>
      </c>
      <c r="G8" s="22" t="s">
        <v>440</v>
      </c>
    </row>
    <row r="9" spans="1:7" ht="25.5" x14ac:dyDescent="0.45">
      <c r="A9" s="22" t="s">
        <v>458</v>
      </c>
      <c r="B9" s="22" t="s">
        <v>211</v>
      </c>
      <c r="C9" s="22" t="s">
        <v>213</v>
      </c>
      <c r="D9" s="18" t="s">
        <v>459</v>
      </c>
      <c r="E9" s="22" t="s">
        <v>460</v>
      </c>
      <c r="F9" s="18" t="s">
        <v>461</v>
      </c>
      <c r="G9" s="22" t="s">
        <v>440</v>
      </c>
    </row>
    <row r="10" spans="1:7" x14ac:dyDescent="0.45">
      <c r="A10" s="22" t="s">
        <v>462</v>
      </c>
      <c r="B10" s="22" t="s">
        <v>219</v>
      </c>
      <c r="C10" s="22" t="s">
        <v>221</v>
      </c>
      <c r="D10" s="18" t="s">
        <v>463</v>
      </c>
      <c r="E10" s="22" t="s">
        <v>464</v>
      </c>
      <c r="F10" s="18" t="s">
        <v>465</v>
      </c>
      <c r="G10" s="22" t="s">
        <v>440</v>
      </c>
    </row>
    <row r="11" spans="1:7" ht="25.5" x14ac:dyDescent="0.45">
      <c r="A11" s="22" t="s">
        <v>466</v>
      </c>
      <c r="B11" s="22" t="s">
        <v>219</v>
      </c>
      <c r="C11" s="22" t="s">
        <v>221</v>
      </c>
      <c r="D11" s="18" t="s">
        <v>467</v>
      </c>
      <c r="E11" s="22" t="s">
        <v>468</v>
      </c>
      <c r="F11" s="18" t="s">
        <v>469</v>
      </c>
      <c r="G11" s="22" t="s">
        <v>440</v>
      </c>
    </row>
    <row r="12" spans="1:7" ht="25.5" x14ac:dyDescent="0.45">
      <c r="A12" s="22" t="s">
        <v>470</v>
      </c>
      <c r="B12" s="22" t="s">
        <v>219</v>
      </c>
      <c r="C12" s="22" t="s">
        <v>221</v>
      </c>
      <c r="D12" s="18" t="s">
        <v>471</v>
      </c>
      <c r="E12" s="22" t="s">
        <v>472</v>
      </c>
      <c r="F12" s="18" t="s">
        <v>473</v>
      </c>
      <c r="G12" s="22" t="s">
        <v>474</v>
      </c>
    </row>
    <row r="13" spans="1:7" ht="25.5" x14ac:dyDescent="0.45">
      <c r="A13" s="22" t="s">
        <v>475</v>
      </c>
      <c r="B13" s="22" t="s">
        <v>226</v>
      </c>
      <c r="C13" s="22" t="s">
        <v>228</v>
      </c>
      <c r="D13" s="18" t="s">
        <v>476</v>
      </c>
      <c r="E13" s="22" t="s">
        <v>477</v>
      </c>
      <c r="F13" s="18" t="s">
        <v>478</v>
      </c>
      <c r="G13" s="22" t="s">
        <v>440</v>
      </c>
    </row>
    <row r="14" spans="1:7" ht="25.5" x14ac:dyDescent="0.45">
      <c r="A14" s="22" t="s">
        <v>479</v>
      </c>
      <c r="B14" s="22" t="s">
        <v>226</v>
      </c>
      <c r="C14" s="22" t="s">
        <v>228</v>
      </c>
      <c r="D14" s="18" t="s">
        <v>480</v>
      </c>
      <c r="E14" s="22" t="s">
        <v>481</v>
      </c>
      <c r="F14" s="18" t="s">
        <v>482</v>
      </c>
      <c r="G14" s="22" t="s">
        <v>483</v>
      </c>
    </row>
    <row r="15" spans="1:7" ht="25.5" x14ac:dyDescent="0.45">
      <c r="A15" s="22" t="s">
        <v>484</v>
      </c>
      <c r="B15" s="22" t="s">
        <v>226</v>
      </c>
      <c r="C15" s="22" t="s">
        <v>228</v>
      </c>
      <c r="D15" s="18" t="s">
        <v>485</v>
      </c>
      <c r="E15" s="22" t="s">
        <v>486</v>
      </c>
      <c r="F15" s="18" t="s">
        <v>487</v>
      </c>
      <c r="G15" s="22" t="s">
        <v>488</v>
      </c>
    </row>
    <row r="16" spans="1:7" ht="25.5" x14ac:dyDescent="0.45">
      <c r="A16" s="22" t="s">
        <v>489</v>
      </c>
      <c r="B16" s="22" t="s">
        <v>226</v>
      </c>
      <c r="C16" s="22" t="s">
        <v>228</v>
      </c>
      <c r="D16" s="18" t="s">
        <v>490</v>
      </c>
      <c r="E16" s="22" t="s">
        <v>477</v>
      </c>
      <c r="F16" s="18" t="s">
        <v>491</v>
      </c>
      <c r="G16" s="22" t="s">
        <v>440</v>
      </c>
    </row>
    <row r="17" spans="1:7" x14ac:dyDescent="0.45">
      <c r="A17" s="22" t="s">
        <v>492</v>
      </c>
      <c r="B17" s="22" t="s">
        <v>232</v>
      </c>
      <c r="C17" s="22" t="s">
        <v>234</v>
      </c>
      <c r="D17" s="18" t="s">
        <v>493</v>
      </c>
      <c r="E17" s="22" t="s">
        <v>494</v>
      </c>
      <c r="F17" s="18" t="s">
        <v>495</v>
      </c>
      <c r="G17" s="22" t="s">
        <v>440</v>
      </c>
    </row>
    <row r="18" spans="1:7" ht="25.5" x14ac:dyDescent="0.45">
      <c r="A18" s="22" t="s">
        <v>496</v>
      </c>
      <c r="B18" s="22" t="s">
        <v>232</v>
      </c>
      <c r="C18" s="22" t="s">
        <v>234</v>
      </c>
      <c r="D18" s="18" t="s">
        <v>497</v>
      </c>
      <c r="E18" s="22" t="s">
        <v>498</v>
      </c>
      <c r="F18" s="18" t="s">
        <v>499</v>
      </c>
      <c r="G18" s="22" t="s">
        <v>440</v>
      </c>
    </row>
    <row r="19" spans="1:7" x14ac:dyDescent="0.45">
      <c r="A19" s="22" t="s">
        <v>500</v>
      </c>
      <c r="B19" s="22" t="s">
        <v>232</v>
      </c>
      <c r="C19" s="22" t="s">
        <v>234</v>
      </c>
      <c r="D19" s="18" t="s">
        <v>501</v>
      </c>
      <c r="E19" s="22" t="s">
        <v>502</v>
      </c>
      <c r="F19" s="18" t="s">
        <v>503</v>
      </c>
      <c r="G19" s="22" t="s">
        <v>449</v>
      </c>
    </row>
    <row r="20" spans="1:7" x14ac:dyDescent="0.45">
      <c r="A20" s="22" t="s">
        <v>504</v>
      </c>
      <c r="B20" s="22" t="s">
        <v>238</v>
      </c>
      <c r="C20" s="22" t="s">
        <v>240</v>
      </c>
      <c r="D20" s="18" t="s">
        <v>505</v>
      </c>
      <c r="E20" s="22" t="s">
        <v>506</v>
      </c>
      <c r="F20" s="18" t="s">
        <v>507</v>
      </c>
      <c r="G20" s="22" t="s">
        <v>440</v>
      </c>
    </row>
    <row r="21" spans="1:7" x14ac:dyDescent="0.45">
      <c r="A21" s="22" t="s">
        <v>508</v>
      </c>
      <c r="B21" s="22" t="s">
        <v>238</v>
      </c>
      <c r="C21" s="22" t="s">
        <v>240</v>
      </c>
      <c r="D21" s="18" t="s">
        <v>509</v>
      </c>
      <c r="E21" s="22" t="s">
        <v>510</v>
      </c>
      <c r="F21" s="18" t="s">
        <v>511</v>
      </c>
      <c r="G21" s="22" t="s">
        <v>440</v>
      </c>
    </row>
    <row r="22" spans="1:7" ht="25.5" x14ac:dyDescent="0.45">
      <c r="A22" s="22" t="s">
        <v>512</v>
      </c>
      <c r="B22" s="22" t="s">
        <v>238</v>
      </c>
      <c r="C22" s="22" t="s">
        <v>240</v>
      </c>
      <c r="D22" s="18" t="s">
        <v>513</v>
      </c>
      <c r="E22" s="22" t="s">
        <v>514</v>
      </c>
      <c r="F22" s="18" t="s">
        <v>515</v>
      </c>
      <c r="G22" s="22" t="s">
        <v>516</v>
      </c>
    </row>
  </sheetData>
  <autoFilter ref="A3:G22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9" customWidth="1"/>
    <col min="2" max="2" width="16" customWidth="1"/>
    <col min="3" max="3" width="14" customWidth="1"/>
    <col min="4" max="4" width="38" customWidth="1"/>
    <col min="5" max="5" width="66" customWidth="1"/>
    <col min="6" max="6" width="36" customWidth="1"/>
  </cols>
  <sheetData>
    <row r="1" spans="1:6" ht="17.649999999999999" x14ac:dyDescent="0.5">
      <c r="A1" s="19" t="s">
        <v>517</v>
      </c>
    </row>
    <row r="2" spans="1:6" x14ac:dyDescent="0.45">
      <c r="A2" s="20" t="s">
        <v>518</v>
      </c>
    </row>
    <row r="3" spans="1:6" ht="30" customHeight="1" x14ac:dyDescent="0.45">
      <c r="A3" s="21" t="s">
        <v>519</v>
      </c>
      <c r="B3" s="21" t="s">
        <v>520</v>
      </c>
      <c r="C3" s="21" t="s">
        <v>521</v>
      </c>
      <c r="D3" s="21" t="s">
        <v>522</v>
      </c>
      <c r="E3" s="21" t="s">
        <v>523</v>
      </c>
      <c r="F3" s="21" t="s">
        <v>524</v>
      </c>
    </row>
    <row r="4" spans="1:6" ht="25.5" x14ac:dyDescent="0.45">
      <c r="A4" s="22" t="s">
        <v>525</v>
      </c>
      <c r="B4" s="22" t="s">
        <v>526</v>
      </c>
      <c r="C4" s="22" t="s">
        <v>527</v>
      </c>
      <c r="D4" s="18" t="s">
        <v>528</v>
      </c>
      <c r="E4" s="18" t="s">
        <v>529</v>
      </c>
      <c r="F4" s="18" t="s">
        <v>530</v>
      </c>
    </row>
    <row r="5" spans="1:6" ht="25.5" x14ac:dyDescent="0.45">
      <c r="A5" s="22" t="s">
        <v>531</v>
      </c>
      <c r="B5" s="22" t="s">
        <v>532</v>
      </c>
      <c r="C5" s="22" t="s">
        <v>533</v>
      </c>
      <c r="D5" s="18" t="s">
        <v>534</v>
      </c>
      <c r="E5" s="18" t="s">
        <v>535</v>
      </c>
      <c r="F5" s="18" t="s">
        <v>536</v>
      </c>
    </row>
    <row r="6" spans="1:6" ht="25.5" x14ac:dyDescent="0.45">
      <c r="A6" s="22" t="s">
        <v>537</v>
      </c>
      <c r="B6" s="22" t="s">
        <v>538</v>
      </c>
      <c r="C6" s="22" t="s">
        <v>539</v>
      </c>
      <c r="D6" s="18" t="s">
        <v>540</v>
      </c>
      <c r="E6" s="18" t="s">
        <v>541</v>
      </c>
      <c r="F6" s="18" t="s">
        <v>542</v>
      </c>
    </row>
    <row r="7" spans="1:6" ht="25.5" x14ac:dyDescent="0.45">
      <c r="A7" s="22" t="s">
        <v>543</v>
      </c>
      <c r="B7" s="22" t="s">
        <v>544</v>
      </c>
      <c r="C7" s="22" t="s">
        <v>545</v>
      </c>
      <c r="D7" s="18" t="s">
        <v>546</v>
      </c>
      <c r="E7" s="18" t="s">
        <v>547</v>
      </c>
      <c r="F7" s="18" t="s">
        <v>548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2" width="9" customWidth="1"/>
    <col min="3" max="3" width="30" customWidth="1"/>
    <col min="4" max="4" width="66" customWidth="1"/>
    <col min="5" max="5" width="26" customWidth="1"/>
  </cols>
  <sheetData>
    <row r="1" spans="1:5" ht="17.649999999999999" x14ac:dyDescent="0.5">
      <c r="A1" s="19" t="s">
        <v>549</v>
      </c>
    </row>
    <row r="2" spans="1:5" x14ac:dyDescent="0.45">
      <c r="A2" s="20" t="s">
        <v>550</v>
      </c>
    </row>
    <row r="3" spans="1:5" ht="30" customHeight="1" x14ac:dyDescent="0.45">
      <c r="A3" s="21" t="s">
        <v>551</v>
      </c>
      <c r="B3" s="21" t="s">
        <v>552</v>
      </c>
      <c r="C3" s="21" t="s">
        <v>553</v>
      </c>
      <c r="D3" s="21" t="s">
        <v>554</v>
      </c>
      <c r="E3" s="21" t="s">
        <v>555</v>
      </c>
    </row>
    <row r="4" spans="1:5" ht="25.5" x14ac:dyDescent="0.45">
      <c r="A4" s="22" t="s">
        <v>556</v>
      </c>
      <c r="B4" s="22">
        <v>1</v>
      </c>
      <c r="C4" s="22" t="s">
        <v>557</v>
      </c>
      <c r="D4" s="18" t="s">
        <v>558</v>
      </c>
      <c r="E4" s="18" t="s">
        <v>559</v>
      </c>
    </row>
    <row r="5" spans="1:5" ht="25.5" x14ac:dyDescent="0.45">
      <c r="A5" s="22" t="s">
        <v>560</v>
      </c>
      <c r="B5" s="22">
        <v>2</v>
      </c>
      <c r="C5" s="18" t="s">
        <v>561</v>
      </c>
      <c r="D5" s="18" t="s">
        <v>562</v>
      </c>
      <c r="E5" s="18" t="s">
        <v>563</v>
      </c>
    </row>
    <row r="6" spans="1:5" ht="25.5" x14ac:dyDescent="0.45">
      <c r="A6" s="22" t="s">
        <v>564</v>
      </c>
      <c r="B6" s="22">
        <v>3</v>
      </c>
      <c r="C6" s="18" t="s">
        <v>565</v>
      </c>
      <c r="D6" s="18" t="s">
        <v>566</v>
      </c>
      <c r="E6" s="18" t="s">
        <v>567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5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2" width="9" customWidth="1"/>
    <col min="3" max="3" width="7" customWidth="1"/>
    <col min="4" max="4" width="12" customWidth="1"/>
    <col min="5" max="5" width="10" customWidth="1"/>
    <col min="6" max="6" width="34" customWidth="1"/>
    <col min="7" max="7" width="12" customWidth="1"/>
  </cols>
  <sheetData>
    <row r="1" spans="1:7" ht="17.649999999999999" x14ac:dyDescent="0.5">
      <c r="A1" s="19" t="s">
        <v>568</v>
      </c>
    </row>
    <row r="2" spans="1:7" x14ac:dyDescent="0.45">
      <c r="A2" s="20" t="s">
        <v>569</v>
      </c>
    </row>
    <row r="3" spans="1:7" ht="30" customHeight="1" x14ac:dyDescent="0.45">
      <c r="A3" s="21" t="s">
        <v>194</v>
      </c>
      <c r="B3" s="21" t="s">
        <v>347</v>
      </c>
      <c r="C3" s="21" t="s">
        <v>570</v>
      </c>
      <c r="D3" s="21" t="s">
        <v>571</v>
      </c>
      <c r="E3" s="21" t="s">
        <v>572</v>
      </c>
      <c r="F3" s="21" t="s">
        <v>573</v>
      </c>
      <c r="G3" s="21" t="s">
        <v>574</v>
      </c>
    </row>
    <row r="4" spans="1:7" x14ac:dyDescent="0.45">
      <c r="A4" s="22" t="s">
        <v>203</v>
      </c>
      <c r="B4" s="22" t="s">
        <v>355</v>
      </c>
      <c r="C4" s="17">
        <v>3</v>
      </c>
      <c r="D4" s="22" t="s">
        <v>384</v>
      </c>
      <c r="E4" s="17" t="s">
        <v>575</v>
      </c>
      <c r="F4" s="18" t="s">
        <v>576</v>
      </c>
      <c r="G4" s="23" t="s">
        <v>577</v>
      </c>
    </row>
    <row r="5" spans="1:7" x14ac:dyDescent="0.45">
      <c r="A5" s="22" t="s">
        <v>203</v>
      </c>
      <c r="B5" s="22" t="s">
        <v>362</v>
      </c>
      <c r="C5" s="17">
        <v>2</v>
      </c>
      <c r="D5" s="22" t="s">
        <v>578</v>
      </c>
      <c r="E5" s="17"/>
      <c r="F5" s="18" t="s">
        <v>579</v>
      </c>
      <c r="G5" s="23" t="s">
        <v>580</v>
      </c>
    </row>
    <row r="6" spans="1:7" x14ac:dyDescent="0.45">
      <c r="A6" s="22" t="s">
        <v>203</v>
      </c>
      <c r="B6" s="22" t="s">
        <v>368</v>
      </c>
      <c r="C6" s="17">
        <v>3</v>
      </c>
      <c r="D6" s="22" t="s">
        <v>384</v>
      </c>
      <c r="E6" s="17" t="s">
        <v>581</v>
      </c>
      <c r="F6" s="18" t="s">
        <v>582</v>
      </c>
      <c r="G6" s="23" t="s">
        <v>583</v>
      </c>
    </row>
    <row r="7" spans="1:7" x14ac:dyDescent="0.45">
      <c r="A7" s="22" t="s">
        <v>203</v>
      </c>
      <c r="B7" s="22" t="s">
        <v>375</v>
      </c>
      <c r="C7" s="17">
        <v>2</v>
      </c>
      <c r="D7" s="22" t="s">
        <v>584</v>
      </c>
      <c r="E7" s="17" t="s">
        <v>585</v>
      </c>
      <c r="F7" s="18" t="s">
        <v>586</v>
      </c>
      <c r="G7" s="23" t="s">
        <v>587</v>
      </c>
    </row>
    <row r="8" spans="1:7" x14ac:dyDescent="0.45">
      <c r="A8" s="22" t="s">
        <v>203</v>
      </c>
      <c r="B8" s="22" t="s">
        <v>380</v>
      </c>
      <c r="C8" s="17">
        <v>2</v>
      </c>
      <c r="D8" s="22" t="s">
        <v>588</v>
      </c>
      <c r="E8" s="17"/>
      <c r="F8" s="18" t="s">
        <v>589</v>
      </c>
      <c r="G8" s="23" t="s">
        <v>590</v>
      </c>
    </row>
    <row r="9" spans="1:7" x14ac:dyDescent="0.45">
      <c r="A9" s="22" t="s">
        <v>203</v>
      </c>
      <c r="B9" s="22" t="s">
        <v>388</v>
      </c>
      <c r="C9" s="17">
        <v>2</v>
      </c>
      <c r="D9" s="22" t="s">
        <v>588</v>
      </c>
      <c r="E9" s="17"/>
      <c r="F9" s="18" t="s">
        <v>591</v>
      </c>
      <c r="G9" s="23" t="s">
        <v>592</v>
      </c>
    </row>
    <row r="10" spans="1:7" x14ac:dyDescent="0.45">
      <c r="A10" s="22" t="s">
        <v>203</v>
      </c>
      <c r="B10" s="22" t="s">
        <v>394</v>
      </c>
      <c r="C10" s="17">
        <v>2</v>
      </c>
      <c r="D10" s="22" t="s">
        <v>593</v>
      </c>
      <c r="E10" s="17"/>
      <c r="F10" s="18" t="s">
        <v>594</v>
      </c>
      <c r="G10" s="23" t="s">
        <v>595</v>
      </c>
    </row>
    <row r="11" spans="1:7" x14ac:dyDescent="0.45">
      <c r="A11" s="22" t="s">
        <v>226</v>
      </c>
      <c r="B11" s="22" t="s">
        <v>355</v>
      </c>
      <c r="C11" s="17">
        <v>3</v>
      </c>
      <c r="D11" s="22" t="s">
        <v>384</v>
      </c>
      <c r="E11" s="17" t="s">
        <v>575</v>
      </c>
      <c r="F11" s="18" t="s">
        <v>596</v>
      </c>
      <c r="G11" s="23" t="s">
        <v>597</v>
      </c>
    </row>
    <row r="12" spans="1:7" x14ac:dyDescent="0.45">
      <c r="A12" s="22" t="s">
        <v>226</v>
      </c>
      <c r="B12" s="22" t="s">
        <v>362</v>
      </c>
      <c r="C12" s="17">
        <v>2</v>
      </c>
      <c r="D12" s="22" t="s">
        <v>578</v>
      </c>
      <c r="E12" s="17"/>
      <c r="F12" s="18" t="s">
        <v>598</v>
      </c>
      <c r="G12" s="23" t="s">
        <v>599</v>
      </c>
    </row>
    <row r="13" spans="1:7" x14ac:dyDescent="0.45">
      <c r="A13" s="22" t="s">
        <v>226</v>
      </c>
      <c r="B13" s="22" t="s">
        <v>368</v>
      </c>
      <c r="C13" s="17">
        <v>2</v>
      </c>
      <c r="D13" s="22" t="s">
        <v>578</v>
      </c>
      <c r="E13" s="17"/>
      <c r="F13" s="18" t="s">
        <v>600</v>
      </c>
      <c r="G13" s="23" t="s">
        <v>601</v>
      </c>
    </row>
    <row r="14" spans="1:7" x14ac:dyDescent="0.45">
      <c r="A14" s="22" t="s">
        <v>226</v>
      </c>
      <c r="B14" s="22" t="s">
        <v>375</v>
      </c>
      <c r="C14" s="17">
        <v>1</v>
      </c>
      <c r="D14" s="22" t="s">
        <v>359</v>
      </c>
      <c r="E14" s="17"/>
      <c r="F14" s="18" t="s">
        <v>602</v>
      </c>
      <c r="G14" s="23" t="s">
        <v>603</v>
      </c>
    </row>
    <row r="15" spans="1:7" x14ac:dyDescent="0.45">
      <c r="A15" s="22" t="s">
        <v>226</v>
      </c>
      <c r="B15" s="22" t="s">
        <v>380</v>
      </c>
      <c r="C15" s="17">
        <v>2</v>
      </c>
      <c r="D15" s="22" t="s">
        <v>584</v>
      </c>
      <c r="E15" s="17" t="s">
        <v>581</v>
      </c>
      <c r="F15" s="18" t="s">
        <v>604</v>
      </c>
      <c r="G15" s="23" t="s">
        <v>605</v>
      </c>
    </row>
    <row r="16" spans="1:7" x14ac:dyDescent="0.45">
      <c r="A16" s="22" t="s">
        <v>226</v>
      </c>
      <c r="B16" s="22" t="s">
        <v>388</v>
      </c>
      <c r="C16" s="17">
        <v>1</v>
      </c>
      <c r="D16" s="22" t="s">
        <v>359</v>
      </c>
      <c r="E16" s="17"/>
      <c r="F16" s="18" t="s">
        <v>606</v>
      </c>
      <c r="G16" s="23" t="s">
        <v>607</v>
      </c>
    </row>
    <row r="17" spans="1:7" x14ac:dyDescent="0.45">
      <c r="A17" s="22" t="s">
        <v>226</v>
      </c>
      <c r="B17" s="22" t="s">
        <v>394</v>
      </c>
      <c r="C17" s="17">
        <v>2</v>
      </c>
      <c r="D17" s="22" t="s">
        <v>608</v>
      </c>
      <c r="E17" s="17"/>
      <c r="F17" s="18" t="s">
        <v>609</v>
      </c>
      <c r="G17" s="23" t="s">
        <v>610</v>
      </c>
    </row>
    <row r="18" spans="1:7" x14ac:dyDescent="0.45">
      <c r="A18" s="22" t="s">
        <v>211</v>
      </c>
      <c r="B18" s="22" t="s">
        <v>355</v>
      </c>
      <c r="C18" s="17">
        <v>3</v>
      </c>
      <c r="D18" s="22" t="s">
        <v>384</v>
      </c>
      <c r="E18" s="17" t="s">
        <v>575</v>
      </c>
      <c r="F18" s="18" t="s">
        <v>611</v>
      </c>
      <c r="G18" s="23" t="s">
        <v>612</v>
      </c>
    </row>
    <row r="19" spans="1:7" x14ac:dyDescent="0.45">
      <c r="A19" s="22" t="s">
        <v>211</v>
      </c>
      <c r="B19" s="22" t="s">
        <v>362</v>
      </c>
      <c r="C19" s="17">
        <v>1</v>
      </c>
      <c r="D19" s="22" t="s">
        <v>359</v>
      </c>
      <c r="E19" s="17"/>
      <c r="F19" s="18" t="s">
        <v>613</v>
      </c>
      <c r="G19" s="23" t="s">
        <v>614</v>
      </c>
    </row>
    <row r="20" spans="1:7" x14ac:dyDescent="0.45">
      <c r="A20" s="22" t="s">
        <v>211</v>
      </c>
      <c r="B20" s="22" t="s">
        <v>368</v>
      </c>
      <c r="C20" s="17">
        <v>2</v>
      </c>
      <c r="D20" s="22" t="s">
        <v>578</v>
      </c>
      <c r="E20" s="17"/>
      <c r="F20" s="18" t="s">
        <v>615</v>
      </c>
      <c r="G20" s="23" t="s">
        <v>616</v>
      </c>
    </row>
    <row r="21" spans="1:7" x14ac:dyDescent="0.45">
      <c r="A21" s="22" t="s">
        <v>211</v>
      </c>
      <c r="B21" s="22" t="s">
        <v>375</v>
      </c>
      <c r="C21" s="17">
        <v>2</v>
      </c>
      <c r="D21" s="22" t="s">
        <v>617</v>
      </c>
      <c r="E21" s="17" t="s">
        <v>581</v>
      </c>
      <c r="F21" s="18" t="s">
        <v>618</v>
      </c>
      <c r="G21" s="23" t="s">
        <v>619</v>
      </c>
    </row>
    <row r="22" spans="1:7" x14ac:dyDescent="0.45">
      <c r="A22" s="22" t="s">
        <v>211</v>
      </c>
      <c r="B22" s="22" t="s">
        <v>380</v>
      </c>
      <c r="C22" s="17">
        <v>1</v>
      </c>
      <c r="D22" s="22" t="s">
        <v>359</v>
      </c>
      <c r="E22" s="17"/>
      <c r="F22" s="18" t="s">
        <v>620</v>
      </c>
      <c r="G22" s="23" t="s">
        <v>621</v>
      </c>
    </row>
    <row r="23" spans="1:7" x14ac:dyDescent="0.45">
      <c r="A23" s="22" t="s">
        <v>211</v>
      </c>
      <c r="B23" s="22" t="s">
        <v>388</v>
      </c>
      <c r="C23" s="17">
        <v>0</v>
      </c>
      <c r="D23" s="22" t="s">
        <v>622</v>
      </c>
      <c r="E23" s="17"/>
      <c r="F23" s="18" t="s">
        <v>623</v>
      </c>
      <c r="G23" s="23" t="s">
        <v>624</v>
      </c>
    </row>
    <row r="24" spans="1:7" x14ac:dyDescent="0.45">
      <c r="A24" s="22" t="s">
        <v>211</v>
      </c>
      <c r="B24" s="22" t="s">
        <v>394</v>
      </c>
      <c r="C24" s="17">
        <v>3</v>
      </c>
      <c r="D24" s="22" t="s">
        <v>625</v>
      </c>
      <c r="E24" s="17" t="s">
        <v>575</v>
      </c>
      <c r="F24" s="18" t="s">
        <v>626</v>
      </c>
      <c r="G24" s="23" t="s">
        <v>627</v>
      </c>
    </row>
    <row r="25" spans="1:7" x14ac:dyDescent="0.45">
      <c r="A25" s="22" t="s">
        <v>219</v>
      </c>
      <c r="B25" s="22" t="s">
        <v>355</v>
      </c>
      <c r="C25" s="17">
        <v>3</v>
      </c>
      <c r="D25" s="22" t="s">
        <v>384</v>
      </c>
      <c r="E25" s="17" t="s">
        <v>575</v>
      </c>
      <c r="F25" s="18" t="s">
        <v>628</v>
      </c>
      <c r="G25" s="23" t="s">
        <v>629</v>
      </c>
    </row>
    <row r="26" spans="1:7" x14ac:dyDescent="0.45">
      <c r="A26" s="22" t="s">
        <v>219</v>
      </c>
      <c r="B26" s="22" t="s">
        <v>362</v>
      </c>
      <c r="C26" s="17">
        <v>1</v>
      </c>
      <c r="D26" s="22" t="s">
        <v>359</v>
      </c>
      <c r="E26" s="17"/>
      <c r="F26" s="18" t="s">
        <v>630</v>
      </c>
      <c r="G26" s="23" t="s">
        <v>631</v>
      </c>
    </row>
    <row r="27" spans="1:7" x14ac:dyDescent="0.45">
      <c r="A27" s="22" t="s">
        <v>219</v>
      </c>
      <c r="B27" s="22" t="s">
        <v>368</v>
      </c>
      <c r="C27" s="17">
        <v>2</v>
      </c>
      <c r="D27" s="22" t="s">
        <v>578</v>
      </c>
      <c r="E27" s="17"/>
      <c r="F27" s="18" t="s">
        <v>632</v>
      </c>
      <c r="G27" s="23" t="s">
        <v>633</v>
      </c>
    </row>
    <row r="28" spans="1:7" x14ac:dyDescent="0.45">
      <c r="A28" s="22" t="s">
        <v>219</v>
      </c>
      <c r="B28" s="22" t="s">
        <v>375</v>
      </c>
      <c r="C28" s="17">
        <v>1</v>
      </c>
      <c r="D28" s="22" t="s">
        <v>359</v>
      </c>
      <c r="E28" s="17"/>
      <c r="F28" s="18" t="s">
        <v>634</v>
      </c>
      <c r="G28" s="23" t="s">
        <v>635</v>
      </c>
    </row>
    <row r="29" spans="1:7" x14ac:dyDescent="0.45">
      <c r="A29" s="22" t="s">
        <v>219</v>
      </c>
      <c r="B29" s="22" t="s">
        <v>380</v>
      </c>
      <c r="C29" s="17">
        <v>0</v>
      </c>
      <c r="D29" s="22" t="s">
        <v>622</v>
      </c>
      <c r="E29" s="17"/>
      <c r="F29" s="18" t="s">
        <v>623</v>
      </c>
      <c r="G29" s="23" t="s">
        <v>636</v>
      </c>
    </row>
    <row r="30" spans="1:7" x14ac:dyDescent="0.45">
      <c r="A30" s="22" t="s">
        <v>219</v>
      </c>
      <c r="B30" s="22" t="s">
        <v>388</v>
      </c>
      <c r="C30" s="17">
        <v>0</v>
      </c>
      <c r="D30" s="22" t="s">
        <v>622</v>
      </c>
      <c r="E30" s="17"/>
      <c r="F30" s="18" t="s">
        <v>623</v>
      </c>
      <c r="G30" s="23" t="s">
        <v>637</v>
      </c>
    </row>
    <row r="31" spans="1:7" x14ac:dyDescent="0.45">
      <c r="A31" s="22" t="s">
        <v>219</v>
      </c>
      <c r="B31" s="22" t="s">
        <v>394</v>
      </c>
      <c r="C31" s="17">
        <v>2</v>
      </c>
      <c r="D31" s="22" t="s">
        <v>638</v>
      </c>
      <c r="E31" s="17"/>
      <c r="F31" s="18" t="s">
        <v>639</v>
      </c>
      <c r="G31" s="23" t="s">
        <v>640</v>
      </c>
    </row>
    <row r="32" spans="1:7" x14ac:dyDescent="0.45">
      <c r="A32" s="22" t="s">
        <v>232</v>
      </c>
      <c r="B32" s="22" t="s">
        <v>355</v>
      </c>
      <c r="C32" s="17">
        <v>2</v>
      </c>
      <c r="D32" s="22" t="s">
        <v>578</v>
      </c>
      <c r="E32" s="17"/>
      <c r="F32" s="18" t="s">
        <v>641</v>
      </c>
      <c r="G32" s="23" t="s">
        <v>642</v>
      </c>
    </row>
    <row r="33" spans="1:7" x14ac:dyDescent="0.45">
      <c r="A33" s="22" t="s">
        <v>232</v>
      </c>
      <c r="B33" s="22" t="s">
        <v>362</v>
      </c>
      <c r="C33" s="17">
        <v>1</v>
      </c>
      <c r="D33" s="22" t="s">
        <v>359</v>
      </c>
      <c r="E33" s="17"/>
      <c r="F33" s="18" t="s">
        <v>643</v>
      </c>
      <c r="G33" s="23" t="s">
        <v>644</v>
      </c>
    </row>
    <row r="34" spans="1:7" x14ac:dyDescent="0.45">
      <c r="A34" s="22" t="s">
        <v>232</v>
      </c>
      <c r="B34" s="22" t="s">
        <v>368</v>
      </c>
      <c r="C34" s="17">
        <v>3</v>
      </c>
      <c r="D34" s="22" t="s">
        <v>384</v>
      </c>
      <c r="E34" s="17" t="s">
        <v>575</v>
      </c>
      <c r="F34" s="18" t="s">
        <v>645</v>
      </c>
      <c r="G34" s="23" t="s">
        <v>646</v>
      </c>
    </row>
    <row r="35" spans="1:7" x14ac:dyDescent="0.45">
      <c r="A35" s="22" t="s">
        <v>232</v>
      </c>
      <c r="B35" s="22" t="s">
        <v>375</v>
      </c>
      <c r="C35" s="17">
        <v>1</v>
      </c>
      <c r="D35" s="22" t="s">
        <v>359</v>
      </c>
      <c r="E35" s="17"/>
      <c r="F35" s="18" t="s">
        <v>647</v>
      </c>
      <c r="G35" s="23" t="s">
        <v>648</v>
      </c>
    </row>
    <row r="36" spans="1:7" x14ac:dyDescent="0.45">
      <c r="A36" s="22" t="s">
        <v>232</v>
      </c>
      <c r="B36" s="22" t="s">
        <v>380</v>
      </c>
      <c r="C36" s="17">
        <v>1</v>
      </c>
      <c r="D36" s="22" t="s">
        <v>359</v>
      </c>
      <c r="E36" s="17"/>
      <c r="F36" s="18" t="s">
        <v>649</v>
      </c>
      <c r="G36" s="23" t="s">
        <v>650</v>
      </c>
    </row>
    <row r="37" spans="1:7" x14ac:dyDescent="0.45">
      <c r="A37" s="22" t="s">
        <v>232</v>
      </c>
      <c r="B37" s="22" t="s">
        <v>388</v>
      </c>
      <c r="C37" s="17">
        <v>2</v>
      </c>
      <c r="D37" s="22" t="s">
        <v>651</v>
      </c>
      <c r="E37" s="17"/>
      <c r="F37" s="18" t="s">
        <v>652</v>
      </c>
      <c r="G37" s="23" t="s">
        <v>653</v>
      </c>
    </row>
    <row r="38" spans="1:7" x14ac:dyDescent="0.45">
      <c r="A38" s="22" t="s">
        <v>232</v>
      </c>
      <c r="B38" s="22" t="s">
        <v>394</v>
      </c>
      <c r="C38" s="17">
        <v>1</v>
      </c>
      <c r="D38" s="22" t="s">
        <v>359</v>
      </c>
      <c r="E38" s="17"/>
      <c r="F38" s="18" t="s">
        <v>606</v>
      </c>
      <c r="G38" s="23" t="s">
        <v>654</v>
      </c>
    </row>
    <row r="39" spans="1:7" x14ac:dyDescent="0.45">
      <c r="A39" s="22" t="s">
        <v>238</v>
      </c>
      <c r="B39" s="22" t="s">
        <v>355</v>
      </c>
      <c r="C39" s="17">
        <v>3</v>
      </c>
      <c r="D39" s="22" t="s">
        <v>384</v>
      </c>
      <c r="E39" s="17" t="s">
        <v>575</v>
      </c>
      <c r="F39" s="18" t="s">
        <v>655</v>
      </c>
      <c r="G39" s="23" t="s">
        <v>656</v>
      </c>
    </row>
    <row r="40" spans="1:7" x14ac:dyDescent="0.45">
      <c r="A40" s="22" t="s">
        <v>238</v>
      </c>
      <c r="B40" s="22" t="s">
        <v>362</v>
      </c>
      <c r="C40" s="17">
        <v>2</v>
      </c>
      <c r="D40" s="22" t="s">
        <v>578</v>
      </c>
      <c r="E40" s="17"/>
      <c r="F40" s="18" t="s">
        <v>657</v>
      </c>
      <c r="G40" s="23" t="s">
        <v>658</v>
      </c>
    </row>
    <row r="41" spans="1:7" x14ac:dyDescent="0.45">
      <c r="A41" s="22" t="s">
        <v>238</v>
      </c>
      <c r="B41" s="22" t="s">
        <v>368</v>
      </c>
      <c r="C41" s="17">
        <v>2</v>
      </c>
      <c r="D41" s="22" t="s">
        <v>578</v>
      </c>
      <c r="E41" s="17"/>
      <c r="F41" s="18" t="s">
        <v>659</v>
      </c>
      <c r="G41" s="23" t="s">
        <v>660</v>
      </c>
    </row>
    <row r="42" spans="1:7" x14ac:dyDescent="0.45">
      <c r="A42" s="22" t="s">
        <v>238</v>
      </c>
      <c r="B42" s="22" t="s">
        <v>375</v>
      </c>
      <c r="C42" s="17">
        <v>2</v>
      </c>
      <c r="D42" s="22" t="s">
        <v>617</v>
      </c>
      <c r="E42" s="17" t="s">
        <v>581</v>
      </c>
      <c r="F42" s="18" t="s">
        <v>661</v>
      </c>
      <c r="G42" s="23" t="s">
        <v>662</v>
      </c>
    </row>
    <row r="43" spans="1:7" x14ac:dyDescent="0.45">
      <c r="A43" s="22" t="s">
        <v>238</v>
      </c>
      <c r="B43" s="22" t="s">
        <v>380</v>
      </c>
      <c r="C43" s="17">
        <v>1</v>
      </c>
      <c r="D43" s="22" t="s">
        <v>359</v>
      </c>
      <c r="E43" s="17"/>
      <c r="F43" s="18" t="s">
        <v>647</v>
      </c>
      <c r="G43" s="23" t="s">
        <v>663</v>
      </c>
    </row>
    <row r="44" spans="1:7" x14ac:dyDescent="0.45">
      <c r="A44" s="22" t="s">
        <v>238</v>
      </c>
      <c r="B44" s="22" t="s">
        <v>388</v>
      </c>
      <c r="C44" s="17">
        <v>0</v>
      </c>
      <c r="D44" s="22" t="s">
        <v>622</v>
      </c>
      <c r="E44" s="17"/>
      <c r="F44" s="18" t="s">
        <v>623</v>
      </c>
      <c r="G44" s="23" t="s">
        <v>664</v>
      </c>
    </row>
    <row r="45" spans="1:7" x14ac:dyDescent="0.45">
      <c r="A45" s="22" t="s">
        <v>238</v>
      </c>
      <c r="B45" s="22" t="s">
        <v>394</v>
      </c>
      <c r="C45" s="17">
        <v>2</v>
      </c>
      <c r="D45" s="22" t="s">
        <v>665</v>
      </c>
      <c r="E45" s="17"/>
      <c r="F45" s="18" t="s">
        <v>666</v>
      </c>
      <c r="G45" s="23" t="s">
        <v>667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4" customWidth="1"/>
    <col min="9" max="9" width="12" customWidth="1"/>
    <col min="11" max="11" width="9" hidden="1" customWidth="1"/>
  </cols>
  <sheetData>
    <row r="1" spans="1:11" ht="17.649999999999999" x14ac:dyDescent="0.5">
      <c r="A1" s="19" t="s">
        <v>668</v>
      </c>
    </row>
    <row r="2" spans="1:11" x14ac:dyDescent="0.45">
      <c r="A2" s="20" t="s">
        <v>669</v>
      </c>
    </row>
    <row r="4" spans="1:11" ht="34.049999999999997" customHeight="1" x14ac:dyDescent="0.45">
      <c r="A4" s="21" t="s">
        <v>670</v>
      </c>
      <c r="B4" s="21" t="s">
        <v>671</v>
      </c>
      <c r="C4" s="21" t="s">
        <v>672</v>
      </c>
      <c r="D4" s="21" t="s">
        <v>673</v>
      </c>
      <c r="E4" s="21" t="s">
        <v>674</v>
      </c>
      <c r="F4" s="21" t="s">
        <v>675</v>
      </c>
      <c r="G4" s="21" t="s">
        <v>389</v>
      </c>
      <c r="H4" s="21" t="s">
        <v>676</v>
      </c>
      <c r="I4" s="21" t="s">
        <v>677</v>
      </c>
    </row>
    <row r="5" spans="1:11" ht="30" customHeight="1" x14ac:dyDescent="0.45">
      <c r="A5" s="24" t="str">
        <f>INDEX('RAW_Market'!$B:$B,MATCH($K5,'RAW_Market'!$A:$A,0))&amp;" ("&amp;TEXT(INDEX('RAW_Market'!$E:$E,MATCH($K5,'RAW_Market'!$A:$A,0)),"0%")&amp;")"</f>
        <v>Trung Quốc (45%)</v>
      </c>
      <c r="B5" s="25" t="str">
        <f>IFERROR(TRIM(INDEX(BRG_Market_Model!$D:$D,MATCH($K5&amp;"|"&amp;B$13,BRG_Market_Model!$G:$G,0))&amp;" "&amp;INDEX(BRG_Market_Model!$E:$E,MATCH($K5&amp;"|"&amp;B$13,BRG_Market_Model!$G:$G,0))),"")</f>
        <v>Cao ①</v>
      </c>
      <c r="C5" s="25" t="str">
        <f>IFERROR(TRIM(INDEX(BRG_Market_Model!$D:$D,MATCH($K5&amp;"|"&amp;C$13,BRG_Market_Model!$G:$G,0))&amp;" "&amp;INDEX(BRG_Market_Model!$E:$E,MATCH($K5&amp;"|"&amp;C$13,BRG_Market_Model!$G:$G,0))),"")</f>
        <v>TB</v>
      </c>
      <c r="D5" s="25" t="str">
        <f>IFERROR(TRIM(INDEX(BRG_Market_Model!$D:$D,MATCH($K5&amp;"|"&amp;D$13,BRG_Market_Model!$G:$G,0))&amp;" "&amp;INDEX(BRG_Market_Model!$E:$E,MATCH($K5&amp;"|"&amp;D$13,BRG_Market_Model!$G:$G,0))),"")</f>
        <v>Cao ②</v>
      </c>
      <c r="E5" s="25" t="str">
        <f>IFERROR(TRIM(INDEX(BRG_Market_Model!$D:$D,MATCH($K5&amp;"|"&amp;E$13,BRG_Market_Model!$G:$G,0))&amp;" "&amp;INDEX(BRG_Market_Model!$E:$E,MATCH($K5&amp;"|"&amp;E$13,BRG_Market_Model!$G:$G,0))),"")</f>
        <v>Sau ③</v>
      </c>
      <c r="F5" s="25" t="str">
        <f>IFERROR(TRIM(INDEX(BRG_Market_Model!$D:$D,MATCH($K5&amp;"|"&amp;F$13,BRG_Market_Model!$G:$G,0))&amp;" "&amp;INDEX(BRG_Market_Model!$E:$E,MATCH($K5&amp;"|"&amp;F$13,BRG_Market_Model!$G:$G,0))),"")</f>
        <v>Có ĐK</v>
      </c>
      <c r="G5" s="25" t="str">
        <f>IFERROR(TRIM(INDEX(BRG_Market_Model!$D:$D,MATCH($K5&amp;"|"&amp;G$13,BRG_Market_Model!$G:$G,0))&amp;" "&amp;INDEX(BRG_Market_Model!$E:$E,MATCH($K5&amp;"|"&amp;G$13,BRG_Market_Model!$G:$G,0))),"")</f>
        <v>Có ĐK</v>
      </c>
      <c r="H5" s="25" t="str">
        <f>IFERROR(TRIM(INDEX(BRG_Market_Model!$D:$D,MATCH($K5&amp;"|"&amp;H$13,BRG_Market_Model!$G:$G,0))&amp;" "&amp;INDEX(BRG_Market_Model!$E:$E,MATCH($K5&amp;"|"&amp;H$13,BRG_Market_Model!$G:$G,0))),"")</f>
        <v>Tmall</v>
      </c>
      <c r="I5" s="26">
        <f>INDEX('RAW_Market'!$G:$G,MATCH($K5,'RAW_Market'!$A:$A,0))</f>
        <v>1</v>
      </c>
      <c r="K5" s="27" t="s">
        <v>203</v>
      </c>
    </row>
    <row r="6" spans="1:11" ht="30" customHeight="1" x14ac:dyDescent="0.45">
      <c r="A6" s="24" t="str">
        <f>INDEX('RAW_Market'!$B:$B,MATCH($K6,'RAW_Market'!$A:$A,0))&amp;" ("&amp;TEXT(INDEX('RAW_Market'!$E:$E,MATCH($K6,'RAW_Market'!$A:$A,0)),"0%")&amp;")"</f>
        <v>Mỹ (15%)</v>
      </c>
      <c r="B6" s="25" t="str">
        <f>IFERROR(TRIM(INDEX(BRG_Market_Model!$D:$D,MATCH($K6&amp;"|"&amp;B$13,BRG_Market_Model!$G:$G,0))&amp;" "&amp;INDEX(BRG_Market_Model!$E:$E,MATCH($K6&amp;"|"&amp;B$13,BRG_Market_Model!$G:$G,0))),"")</f>
        <v>Cao ①</v>
      </c>
      <c r="C6" s="25" t="str">
        <f>IFERROR(TRIM(INDEX(BRG_Market_Model!$D:$D,MATCH($K6&amp;"|"&amp;C$13,BRG_Market_Model!$G:$G,0))&amp;" "&amp;INDEX(BRG_Market_Model!$E:$E,MATCH($K6&amp;"|"&amp;C$13,BRG_Market_Model!$G:$G,0))),"")</f>
        <v>TB</v>
      </c>
      <c r="D6" s="25" t="str">
        <f>IFERROR(TRIM(INDEX(BRG_Market_Model!$D:$D,MATCH($K6&amp;"|"&amp;D$13,BRG_Market_Model!$G:$G,0))&amp;" "&amp;INDEX(BRG_Market_Model!$E:$E,MATCH($K6&amp;"|"&amp;D$13,BRG_Market_Model!$G:$G,0))),"")</f>
        <v>TB</v>
      </c>
      <c r="E6" s="25" t="str">
        <f>IFERROR(TRIM(INDEX(BRG_Market_Model!$D:$D,MATCH($K6&amp;"|"&amp;E$13,BRG_Market_Model!$G:$G,0))&amp;" "&amp;INDEX(BRG_Market_Model!$E:$E,MATCH($K6&amp;"|"&amp;E$13,BRG_Market_Model!$G:$G,0))),"")</f>
        <v>Thấp</v>
      </c>
      <c r="F6" s="25" t="str">
        <f>IFERROR(TRIM(INDEX(BRG_Market_Model!$D:$D,MATCH($K6&amp;"|"&amp;F$13,BRG_Market_Model!$G:$G,0))&amp;" "&amp;INDEX(BRG_Market_Model!$E:$E,MATCH($K6&amp;"|"&amp;F$13,BRG_Market_Model!$G:$G,0))),"")</f>
        <v>Sau ②</v>
      </c>
      <c r="G6" s="25" t="str">
        <f>IFERROR(TRIM(INDEX(BRG_Market_Model!$D:$D,MATCH($K6&amp;"|"&amp;G$13,BRG_Market_Model!$G:$G,0))&amp;" "&amp;INDEX(BRG_Market_Model!$E:$E,MATCH($K6&amp;"|"&amp;G$13,BRG_Market_Model!$G:$G,0))),"")</f>
        <v>Thấp</v>
      </c>
      <c r="H6" s="25" t="str">
        <f>IFERROR(TRIM(INDEX(BRG_Market_Model!$D:$D,MATCH($K6&amp;"|"&amp;H$13,BRG_Market_Model!$G:$G,0))&amp;" "&amp;INDEX(BRG_Market_Model!$E:$E,MATCH($K6&amp;"|"&amp;H$13,BRG_Market_Model!$G:$G,0))),"")</f>
        <v>Amazon</v>
      </c>
      <c r="I6" s="26">
        <f>INDEX('RAW_Market'!$G:$G,MATCH($K6,'RAW_Market'!$A:$A,0))</f>
        <v>2</v>
      </c>
      <c r="K6" s="27" t="s">
        <v>226</v>
      </c>
    </row>
    <row r="7" spans="1:11" ht="30" customHeight="1" x14ac:dyDescent="0.45">
      <c r="A7" s="24" t="str">
        <f>INDEX('RAW_Market'!$B:$B,MATCH($K7,'RAW_Market'!$A:$A,0))&amp;" ("&amp;TEXT(INDEX('RAW_Market'!$E:$E,MATCH($K7,'RAW_Market'!$A:$A,0)),"0%")&amp;")"</f>
        <v>Hà Lan (EU) (15%)</v>
      </c>
      <c r="B7" s="25" t="str">
        <f>IFERROR(TRIM(INDEX(BRG_Market_Model!$D:$D,MATCH($K7&amp;"|"&amp;B$13,BRG_Market_Model!$G:$G,0))&amp;" "&amp;INDEX(BRG_Market_Model!$E:$E,MATCH($K7&amp;"|"&amp;B$13,BRG_Market_Model!$G:$G,0))),"")</f>
        <v>Cao ①</v>
      </c>
      <c r="C7" s="25" t="str">
        <f>IFERROR(TRIM(INDEX(BRG_Market_Model!$D:$D,MATCH($K7&amp;"|"&amp;C$13,BRG_Market_Model!$G:$G,0))&amp;" "&amp;INDEX(BRG_Market_Model!$E:$E,MATCH($K7&amp;"|"&amp;C$13,BRG_Market_Model!$G:$G,0))),"")</f>
        <v>Thấp</v>
      </c>
      <c r="D7" s="25" t="str">
        <f>IFERROR(TRIM(INDEX(BRG_Market_Model!$D:$D,MATCH($K7&amp;"|"&amp;D$13,BRG_Market_Model!$G:$G,0))&amp;" "&amp;INDEX(BRG_Market_Model!$E:$E,MATCH($K7&amp;"|"&amp;D$13,BRG_Market_Model!$G:$G,0))),"")</f>
        <v>TB</v>
      </c>
      <c r="E7" s="25" t="str">
        <f>IFERROR(TRIM(INDEX(BRG_Market_Model!$D:$D,MATCH($K7&amp;"|"&amp;E$13,BRG_Market_Model!$G:$G,0))&amp;" "&amp;INDEX(BRG_Market_Model!$E:$E,MATCH($K7&amp;"|"&amp;E$13,BRG_Market_Model!$G:$G,0))),"")</f>
        <v>Hub ②</v>
      </c>
      <c r="F7" s="25" t="str">
        <f>IFERROR(TRIM(INDEX(BRG_Market_Model!$D:$D,MATCH($K7&amp;"|"&amp;F$13,BRG_Market_Model!$G:$G,0))&amp;" "&amp;INDEX(BRG_Market_Model!$E:$E,MATCH($K7&amp;"|"&amp;F$13,BRG_Market_Model!$G:$G,0))),"")</f>
        <v>Thấp</v>
      </c>
      <c r="G7" s="25" t="str">
        <f>IFERROR(TRIM(INDEX(BRG_Market_Model!$D:$D,MATCH($K7&amp;"|"&amp;G$13,BRG_Market_Model!$G:$G,0))&amp;" "&amp;INDEX(BRG_Market_Model!$E:$E,MATCH($K7&amp;"|"&amp;G$13,BRG_Market_Model!$G:$G,0))),"")</f>
        <v>–</v>
      </c>
      <c r="H7" s="25" t="str">
        <f>IFERROR(TRIM(INDEX(BRG_Market_Model!$D:$D,MATCH($K7&amp;"|"&amp;H$13,BRG_Market_Model!$G:$G,0))&amp;" "&amp;INDEX(BRG_Market_Model!$E:$E,MATCH($K7&amp;"|"&amp;H$13,BRG_Market_Model!$G:$G,0))),"")</f>
        <v>Hub EU ①</v>
      </c>
      <c r="I7" s="26">
        <f>INDEX('RAW_Market'!$G:$G,MATCH($K7,'RAW_Market'!$A:$A,0))</f>
        <v>3</v>
      </c>
      <c r="K7" s="27" t="s">
        <v>211</v>
      </c>
    </row>
    <row r="8" spans="1:11" ht="30" customHeight="1" x14ac:dyDescent="0.45">
      <c r="A8" s="24" t="str">
        <f>INDEX('RAW_Market'!$B:$B,MATCH($K8,'RAW_Market'!$A:$A,0))&amp;" ("&amp;TEXT(INDEX('RAW_Market'!$E:$E,MATCH($K8,'RAW_Market'!$A:$A,0)),"0%")&amp;")"</f>
        <v>Đức (EU) (10%)</v>
      </c>
      <c r="B8" s="25" t="str">
        <f>IFERROR(TRIM(INDEX(BRG_Market_Model!$D:$D,MATCH($K8&amp;"|"&amp;B$13,BRG_Market_Model!$G:$G,0))&amp;" "&amp;INDEX(BRG_Market_Model!$E:$E,MATCH($K8&amp;"|"&amp;B$13,BRG_Market_Model!$G:$G,0))),"")</f>
        <v>Cao ①</v>
      </c>
      <c r="C8" s="25" t="str">
        <f>IFERROR(TRIM(INDEX(BRG_Market_Model!$D:$D,MATCH($K8&amp;"|"&amp;C$13,BRG_Market_Model!$G:$G,0))&amp;" "&amp;INDEX(BRG_Market_Model!$E:$E,MATCH($K8&amp;"|"&amp;C$13,BRG_Market_Model!$G:$G,0))),"")</f>
        <v>Thấp</v>
      </c>
      <c r="D8" s="25" t="str">
        <f>IFERROR(TRIM(INDEX(BRG_Market_Model!$D:$D,MATCH($K8&amp;"|"&amp;D$13,BRG_Market_Model!$G:$G,0))&amp;" "&amp;INDEX(BRG_Market_Model!$E:$E,MATCH($K8&amp;"|"&amp;D$13,BRG_Market_Model!$G:$G,0))),"")</f>
        <v>TB</v>
      </c>
      <c r="E8" s="25" t="str">
        <f>IFERROR(TRIM(INDEX(BRG_Market_Model!$D:$D,MATCH($K8&amp;"|"&amp;E$13,BRG_Market_Model!$G:$G,0))&amp;" "&amp;INDEX(BRG_Market_Model!$E:$E,MATCH($K8&amp;"|"&amp;E$13,BRG_Market_Model!$G:$G,0))),"")</f>
        <v>Thấp</v>
      </c>
      <c r="F8" s="25" t="str">
        <f>IFERROR(TRIM(INDEX(BRG_Market_Model!$D:$D,MATCH($K8&amp;"|"&amp;F$13,BRG_Market_Model!$G:$G,0))&amp;" "&amp;INDEX(BRG_Market_Model!$E:$E,MATCH($K8&amp;"|"&amp;F$13,BRG_Market_Model!$G:$G,0))),"")</f>
        <v>–</v>
      </c>
      <c r="G8" s="25" t="str">
        <f>IFERROR(TRIM(INDEX(BRG_Market_Model!$D:$D,MATCH($K8&amp;"|"&amp;G$13,BRG_Market_Model!$G:$G,0))&amp;" "&amp;INDEX(BRG_Market_Model!$E:$E,MATCH($K8&amp;"|"&amp;G$13,BRG_Market_Model!$G:$G,0))),"")</f>
        <v>–</v>
      </c>
      <c r="H8" s="25" t="str">
        <f>IFERROR(TRIM(INDEX(BRG_Market_Model!$D:$D,MATCH($K8&amp;"|"&amp;H$13,BRG_Market_Model!$G:$G,0))&amp;" "&amp;INDEX(BRG_Market_Model!$E:$E,MATCH($K8&amp;"|"&amp;H$13,BRG_Market_Model!$G:$G,0))),"")</f>
        <v>Qua NL</v>
      </c>
      <c r="I8" s="26">
        <f>INDEX('RAW_Market'!$G:$G,MATCH($K8,'RAW_Market'!$A:$A,0))</f>
        <v>4</v>
      </c>
      <c r="K8" s="27" t="s">
        <v>219</v>
      </c>
    </row>
    <row r="9" spans="1:11" ht="30" customHeight="1" x14ac:dyDescent="0.45">
      <c r="A9" s="24" t="str">
        <f>INDEX('RAW_Market'!$B:$B,MATCH($K9,'RAW_Market'!$A:$A,0))&amp;" ("&amp;TEXT(INDEX('RAW_Market'!$E:$E,MATCH($K9,'RAW_Market'!$A:$A,0)),"0%")&amp;")"</f>
        <v>Hàn Quốc (10%)</v>
      </c>
      <c r="B9" s="25" t="str">
        <f>IFERROR(TRIM(INDEX(BRG_Market_Model!$D:$D,MATCH($K9&amp;"|"&amp;B$13,BRG_Market_Model!$G:$G,0))&amp;" "&amp;INDEX(BRG_Market_Model!$E:$E,MATCH($K9&amp;"|"&amp;B$13,BRG_Market_Model!$G:$G,0))),"")</f>
        <v>TB</v>
      </c>
      <c r="C9" s="25" t="str">
        <f>IFERROR(TRIM(INDEX(BRG_Market_Model!$D:$D,MATCH($K9&amp;"|"&amp;C$13,BRG_Market_Model!$G:$G,0))&amp;" "&amp;INDEX(BRG_Market_Model!$E:$E,MATCH($K9&amp;"|"&amp;C$13,BRG_Market_Model!$G:$G,0))),"")</f>
        <v>Thấp</v>
      </c>
      <c r="D9" s="25" t="str">
        <f>IFERROR(TRIM(INDEX(BRG_Market_Model!$D:$D,MATCH($K9&amp;"|"&amp;D$13,BRG_Market_Model!$G:$G,0))&amp;" "&amp;INDEX(BRG_Market_Model!$E:$E,MATCH($K9&amp;"|"&amp;D$13,BRG_Market_Model!$G:$G,0))),"")</f>
        <v>Cao ①</v>
      </c>
      <c r="E9" s="25" t="str">
        <f>IFERROR(TRIM(INDEX(BRG_Market_Model!$D:$D,MATCH($K9&amp;"|"&amp;E$13,BRG_Market_Model!$G:$G,0))&amp;" "&amp;INDEX(BRG_Market_Model!$E:$E,MATCH($K9&amp;"|"&amp;E$13,BRG_Market_Model!$G:$G,0))),"")</f>
        <v>Thấp</v>
      </c>
      <c r="F9" s="25" t="str">
        <f>IFERROR(TRIM(INDEX(BRG_Market_Model!$D:$D,MATCH($K9&amp;"|"&amp;F$13,BRG_Market_Model!$G:$G,0))&amp;" "&amp;INDEX(BRG_Market_Model!$E:$E,MATCH($K9&amp;"|"&amp;F$13,BRG_Market_Model!$G:$G,0))),"")</f>
        <v>Thấp</v>
      </c>
      <c r="G9" s="25" t="str">
        <f>IFERROR(TRIM(INDEX(BRG_Market_Model!$D:$D,MATCH($K9&amp;"|"&amp;G$13,BRG_Market_Model!$G:$G,0))&amp;" "&amp;INDEX(BRG_Market_Model!$E:$E,MATCH($K9&amp;"|"&amp;G$13,BRG_Market_Model!$G:$G,0))),"")</f>
        <v>Nếu mở rộng</v>
      </c>
      <c r="H9" s="25" t="str">
        <f>IFERROR(TRIM(INDEX(BRG_Market_Model!$D:$D,MATCH($K9&amp;"|"&amp;H$13,BRG_Market_Model!$G:$G,0))&amp;" "&amp;INDEX(BRG_Market_Model!$E:$E,MATCH($K9&amp;"|"&amp;H$13,BRG_Market_Model!$G:$G,0))),"")</f>
        <v>Thấp</v>
      </c>
      <c r="I9" s="26">
        <f>INDEX('RAW_Market'!$G:$G,MATCH($K9,'RAW_Market'!$A:$A,0))</f>
        <v>5</v>
      </c>
      <c r="K9" s="27" t="s">
        <v>232</v>
      </c>
    </row>
    <row r="10" spans="1:11" ht="30" customHeight="1" x14ac:dyDescent="0.45">
      <c r="A10" s="24" t="str">
        <f>INDEX('RAW_Market'!$B:$B,MATCH($K10,'RAW_Market'!$A:$A,0))&amp;" ("&amp;TEXT(INDEX('RAW_Market'!$E:$E,MATCH($K10,'RAW_Market'!$A:$A,0)),"0%")&amp;")"</f>
        <v>UAE (Trung Đông) (5%)</v>
      </c>
      <c r="B10" s="25" t="str">
        <f>IFERROR(TRIM(INDEX(BRG_Market_Model!$D:$D,MATCH($K10&amp;"|"&amp;B$13,BRG_Market_Model!$G:$G,0))&amp;" "&amp;INDEX(BRG_Market_Model!$E:$E,MATCH($K10&amp;"|"&amp;B$13,BRG_Market_Model!$G:$G,0))),"")</f>
        <v>Cao ①</v>
      </c>
      <c r="C10" s="25" t="str">
        <f>IFERROR(TRIM(INDEX(BRG_Market_Model!$D:$D,MATCH($K10&amp;"|"&amp;C$13,BRG_Market_Model!$G:$G,0))&amp;" "&amp;INDEX(BRG_Market_Model!$E:$E,MATCH($K10&amp;"|"&amp;C$13,BRG_Market_Model!$G:$G,0))),"")</f>
        <v>TB</v>
      </c>
      <c r="D10" s="25" t="str">
        <f>IFERROR(TRIM(INDEX(BRG_Market_Model!$D:$D,MATCH($K10&amp;"|"&amp;D$13,BRG_Market_Model!$G:$G,0))&amp;" "&amp;INDEX(BRG_Market_Model!$E:$E,MATCH($K10&amp;"|"&amp;D$13,BRG_Market_Model!$G:$G,0))),"")</f>
        <v>TB</v>
      </c>
      <c r="E10" s="25" t="str">
        <f>IFERROR(TRIM(INDEX(BRG_Market_Model!$D:$D,MATCH($K10&amp;"|"&amp;E$13,BRG_Market_Model!$G:$G,0))&amp;" "&amp;INDEX(BRG_Market_Model!$E:$E,MATCH($K10&amp;"|"&amp;E$13,BRG_Market_Model!$G:$G,0))),"")</f>
        <v>Hub ②</v>
      </c>
      <c r="F10" s="25" t="str">
        <f>IFERROR(TRIM(INDEX(BRG_Market_Model!$D:$D,MATCH($K10&amp;"|"&amp;F$13,BRG_Market_Model!$G:$G,0))&amp;" "&amp;INDEX(BRG_Market_Model!$E:$E,MATCH($K10&amp;"|"&amp;F$13,BRG_Market_Model!$G:$G,0))),"")</f>
        <v>Thấp</v>
      </c>
      <c r="G10" s="25" t="str">
        <f>IFERROR(TRIM(INDEX(BRG_Market_Model!$D:$D,MATCH($K10&amp;"|"&amp;G$13,BRG_Market_Model!$G:$G,0))&amp;" "&amp;INDEX(BRG_Market_Model!$E:$E,MATCH($K10&amp;"|"&amp;G$13,BRG_Market_Model!$G:$G,0))),"")</f>
        <v>–</v>
      </c>
      <c r="H10" s="25" t="str">
        <f>IFERROR(TRIM(INDEX(BRG_Market_Model!$D:$D,MATCH($K10&amp;"|"&amp;H$13,BRG_Market_Model!$G:$G,0))&amp;" "&amp;INDEX(BRG_Market_Model!$E:$E,MATCH($K10&amp;"|"&amp;H$13,BRG_Market_Model!$G:$G,0))),"")</f>
        <v>HORECA</v>
      </c>
      <c r="I10" s="26">
        <f>INDEX('RAW_Market'!$G:$G,MATCH($K10,'RAW_Market'!$A:$A,0))</f>
        <v>6</v>
      </c>
      <c r="K10" s="27" t="s">
        <v>238</v>
      </c>
    </row>
    <row r="12" spans="1:11" x14ac:dyDescent="0.45">
      <c r="A12" s="28" t="s">
        <v>678</v>
      </c>
    </row>
    <row r="13" spans="1:11" x14ac:dyDescent="0.45">
      <c r="B13" s="27" t="s">
        <v>355</v>
      </c>
      <c r="C13" s="27" t="s">
        <v>362</v>
      </c>
      <c r="D13" s="27" t="s">
        <v>368</v>
      </c>
      <c r="E13" s="27" t="s">
        <v>375</v>
      </c>
      <c r="F13" s="27" t="s">
        <v>380</v>
      </c>
      <c r="G13" s="27" t="s">
        <v>388</v>
      </c>
      <c r="H13" s="27" t="s">
        <v>394</v>
      </c>
    </row>
    <row r="15" spans="1:11" x14ac:dyDescent="0.45">
      <c r="A15" s="29" t="s">
        <v>679</v>
      </c>
    </row>
    <row r="16" spans="1:11" x14ac:dyDescent="0.45">
      <c r="A16" s="30" t="s">
        <v>680</v>
      </c>
    </row>
    <row r="17" spans="1:1" x14ac:dyDescent="0.45">
      <c r="A17" s="31" t="s">
        <v>681</v>
      </c>
    </row>
    <row r="18" spans="1:1" x14ac:dyDescent="0.45">
      <c r="A18" s="32" t="s">
        <v>682</v>
      </c>
    </row>
    <row r="19" spans="1:1" x14ac:dyDescent="0.45">
      <c r="A19" s="33" t="s">
        <v>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0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4" customWidth="1"/>
    <col min="4" max="4" width="10" customWidth="1"/>
    <col min="5" max="6" width="40" customWidth="1"/>
    <col min="7" max="7" width="42" customWidth="1"/>
    <col min="12" max="12" width="13" hidden="1" customWidth="1"/>
  </cols>
  <sheetData>
    <row r="1" spans="1:12" ht="17.649999999999999" x14ac:dyDescent="0.5">
      <c r="A1" s="19" t="s">
        <v>684</v>
      </c>
    </row>
    <row r="2" spans="1:12" x14ac:dyDescent="0.45">
      <c r="A2" s="20" t="s">
        <v>685</v>
      </c>
    </row>
    <row r="4" spans="1:12" ht="30" customHeight="1" x14ac:dyDescent="0.45">
      <c r="A4" s="21" t="s">
        <v>686</v>
      </c>
      <c r="B4" s="21" t="s">
        <v>687</v>
      </c>
      <c r="C4" s="21" t="s">
        <v>688</v>
      </c>
      <c r="D4" s="21" t="s">
        <v>689</v>
      </c>
      <c r="E4" s="21" t="s">
        <v>690</v>
      </c>
      <c r="F4" s="21" t="s">
        <v>691</v>
      </c>
      <c r="G4" s="21" t="s">
        <v>692</v>
      </c>
    </row>
    <row r="5" spans="1:12" ht="46.05" customHeight="1" x14ac:dyDescent="0.45">
      <c r="A5" s="34">
        <f>INDEX('RAW_Market'!$G:$G,MATCH($L5,'RAW_Market'!$A:$A,0))</f>
        <v>1</v>
      </c>
      <c r="B5" s="35" t="str">
        <f>INDEX('RAW_Market'!$B:$B,MATCH($L5,'RAW_Market'!$A:$A,0))</f>
        <v>Trung Quốc</v>
      </c>
      <c r="C5" s="35" t="str">
        <f>INDEX('RAW_Market'!$C:$C,MATCH($L5,'RAW_Market'!$A:$A,0))</f>
        <v>China</v>
      </c>
      <c r="D5" s="36" t="str">
        <f>INDEX('RAW_Market'!$E:$E,MATCH($L5,'RAW_Market'!$A:$A,0))</f>
        <v>0.45</v>
      </c>
      <c r="E5" s="37" t="str">
        <f>INDEX('RAW_Market'!$H:$H,MATCH($L5,'RAW_Market'!$A:$A,0))</f>
        <v>XK chính ngạch → NPP độc quyền → VPĐD Quảng Châu</v>
      </c>
      <c r="F5" s="37" t="str">
        <f>INDEX(RAW_BuyerCulture!$C:$C,MATCH($L5,RAW_BuyerCulture!$A:$A,0))</f>
        <v>Dựa quan hệ (关系 guanxi) &amp; tin cậy cá nhân; gặp mặt, ăn uống trước khi chốt.</v>
      </c>
      <c r="G5" s="37" t="str">
        <f>INDEX(RAW_BuyerCulture!$E:$E,MATCH($L5,RAW_BuyerCulture!$A:$A,0))</f>
        <v>Tốc độ giao &amp; ổn định nguồn; giá cạnh tranh.</v>
      </c>
      <c r="L5" s="27" t="s">
        <v>203</v>
      </c>
    </row>
    <row r="6" spans="1:12" ht="46.05" customHeight="1" x14ac:dyDescent="0.45">
      <c r="A6" s="34">
        <f>INDEX('RAW_Market'!$G:$G,MATCH($L6,'RAW_Market'!$A:$A,0))</f>
        <v>2</v>
      </c>
      <c r="B6" s="35" t="str">
        <f>INDEX('RAW_Market'!$B:$B,MATCH($L6,'RAW_Market'!$A:$A,0))</f>
        <v>Mỹ</v>
      </c>
      <c r="C6" s="35" t="str">
        <f>INDEX('RAW_Market'!$C:$C,MATCH($L6,'RAW_Market'!$A:$A,0))</f>
        <v>USA</v>
      </c>
      <c r="D6" s="36" t="str">
        <f>INDEX('RAW_Market'!$E:$E,MATCH($L6,'RAW_Market'!$A:$A,0))</f>
        <v>0.15</v>
      </c>
      <c r="E6" s="37" t="str">
        <f>INDEX('RAW_Market'!$H:$H,MATCH($L6,'RAW_Market'!$A:$A,0))</f>
        <v>XK trực tiếp cho distributor + FSVP agent → Công ty con + kho lạnh khi đủ volume</v>
      </c>
      <c r="F6" s="37" t="str">
        <f>INDEX(RAW_BuyerCulture!$C:$C,MATCH($L6,RAW_BuyerCulture!$A:$A,0))</f>
        <v>Thực dụng, dựa hiệu suất &amp; hợp đồng chặt; quyết nhanh.</v>
      </c>
      <c r="G6" s="37" t="str">
        <f>INDEX(RAW_BuyerCulture!$E:$E,MATCH($L6,RAW_BuyerCulture!$A:$A,0))</f>
        <v>Giá cạnh tranh, nguồn cung lớn ổn định, trách nhiệm pháp lý &amp; bảo hiểm.</v>
      </c>
      <c r="L6" s="27" t="s">
        <v>226</v>
      </c>
    </row>
    <row r="7" spans="1:12" ht="46.05" customHeight="1" x14ac:dyDescent="0.45">
      <c r="A7" s="34">
        <f>INDEX('RAW_Market'!$G:$G,MATCH($L7,'RAW_Market'!$A:$A,0))</f>
        <v>3</v>
      </c>
      <c r="B7" s="35" t="str">
        <f>INDEX('RAW_Market'!$B:$B,MATCH($L7,'RAW_Market'!$A:$A,0))</f>
        <v>Hà Lan (EU)</v>
      </c>
      <c r="C7" s="35" t="str">
        <f>INDEX('RAW_Market'!$C:$C,MATCH($L7,'RAW_Market'!$A:$A,0))</f>
        <v>Netherlands</v>
      </c>
      <c r="D7" s="36" t="str">
        <f>INDEX('RAW_Market'!$E:$E,MATCH($L7,'RAW_Market'!$A:$A,0))</f>
        <v>0.15</v>
      </c>
      <c r="E7" s="37" t="str">
        <f>INDEX('RAW_Market'!$H:$H,MATCH($L7,'RAW_Market'!$A:$A,0))</f>
        <v>XK trực tiếp cho importer Rotterdam → Kho lạnh ký gửi làm hub EU</v>
      </c>
      <c r="F7" s="37" t="str">
        <f>INDEX(RAW_BuyerCulture!$C:$C,MATCH($L7,RAW_BuyerCulture!$A:$A,0))</f>
        <v>Thẳng thắn, dựa số liệu, quyết nhanh khi đủ dữ kiện.</v>
      </c>
      <c r="G7" s="37" t="str">
        <f>INDEX(RAW_BuyerCulture!$E:$E,MATCH($L7,RAW_BuyerCulture!$A:$A,0))</f>
        <v>Bền vững &amp; chứng nhận (ASC, MSC, GlobalG.A.P), truy xuất minh bạch.</v>
      </c>
      <c r="L7" s="27" t="s">
        <v>211</v>
      </c>
    </row>
    <row r="8" spans="1:12" ht="46.05" customHeight="1" x14ac:dyDescent="0.45">
      <c r="A8" s="34">
        <f>INDEX('RAW_Market'!$G:$G,MATCH($L8,'RAW_Market'!$A:$A,0))</f>
        <v>4</v>
      </c>
      <c r="B8" s="35" t="str">
        <f>INDEX('RAW_Market'!$B:$B,MATCH($L8,'RAW_Market'!$A:$A,0))</f>
        <v>Đức (EU)</v>
      </c>
      <c r="C8" s="35" t="str">
        <f>INDEX('RAW_Market'!$C:$C,MATCH($L8,'RAW_Market'!$A:$A,0))</f>
        <v>Germany</v>
      </c>
      <c r="D8" s="36" t="str">
        <f>INDEX('RAW_Market'!$E:$E,MATCH($L8,'RAW_Market'!$A:$A,0))</f>
        <v>0.10</v>
      </c>
      <c r="E8" s="37" t="str">
        <f>INDEX('RAW_Market'!$H:$H,MATCH($L8,'RAW_Market'!$A:$A,0))</f>
        <v>XK trực tiếp cho importer/foodservice qua hub Hà Lan; không cần pháp nhân riêng</v>
      </c>
      <c r="F8" s="37" t="str">
        <f>INDEX(RAW_BuyerCulture!$C:$C,MATCH($L8,RAW_BuyerCulture!$A:$A,0))</f>
        <v>Kỹ tính, chuộng quy trình &amp; giấy tờ; kiểm tra kỹ trước cam kết dài hạn.</v>
      </c>
      <c r="G8" s="37" t="str">
        <f>INDEX(RAW_BuyerCulture!$E:$E,MATCH($L8,RAW_BuyerCulture!$A:$A,0))</f>
        <v>Chất lượng ổn định tuyệt đối; BRC/IFS, organic; trách nhiệm chuỗi cung ứng.</v>
      </c>
      <c r="L8" s="27" t="s">
        <v>219</v>
      </c>
    </row>
    <row r="9" spans="1:12" ht="46.05" customHeight="1" x14ac:dyDescent="0.45">
      <c r="A9" s="34">
        <f>INDEX('RAW_Market'!$G:$G,MATCH($L9,'RAW_Market'!$A:$A,0))</f>
        <v>5</v>
      </c>
      <c r="B9" s="35" t="str">
        <f>INDEX('RAW_Market'!$B:$B,MATCH($L9,'RAW_Market'!$A:$A,0))</f>
        <v>Hàn Quốc</v>
      </c>
      <c r="C9" s="35" t="str">
        <f>INDEX('RAW_Market'!$C:$C,MATCH($L9,'RAW_Market'!$A:$A,0))</f>
        <v>South Korea</v>
      </c>
      <c r="D9" s="36" t="str">
        <f>INDEX('RAW_Market'!$E:$E,MATCH($L9,'RAW_Market'!$A:$A,0))</f>
        <v>0.10</v>
      </c>
      <c r="E9" s="37" t="str">
        <f>INDEX('RAW_Market'!$H:$H,MATCH($L9,'RAW_Market'!$A:$A,0))</f>
        <v>Nhà phân phối/importer bản địa (họ nắm giấy phép) → cân nhắc JV nếu mở rộng</v>
      </c>
      <c r="F9" s="37" t="str">
        <f>INDEX(RAW_BuyerCulture!$C:$C,MATCH($L9,RAW_BuyerCulture!$A:$A,0))</f>
        <v>Tôn ti, quyết định tập thể; cần nhiều vòng gặp &amp; kiên nhẫn.</v>
      </c>
      <c r="G9" s="37" t="str">
        <f>INDEX(RAW_BuyerCulture!$E:$E,MATCH($L9,RAW_BuyerCulture!$A:$A,0))</f>
        <v>Chất lượng &amp; đóng gói cực cao; ngoại hình sản phẩm; test mẫu kỹ.</v>
      </c>
      <c r="L9" s="27" t="s">
        <v>232</v>
      </c>
    </row>
    <row r="10" spans="1:12" ht="46.05" customHeight="1" x14ac:dyDescent="0.45">
      <c r="A10" s="34">
        <f>INDEX('RAW_Market'!$G:$G,MATCH($L10,'RAW_Market'!$A:$A,0))</f>
        <v>6</v>
      </c>
      <c r="B10" s="35" t="str">
        <f>INDEX('RAW_Market'!$B:$B,MATCH($L10,'RAW_Market'!$A:$A,0))</f>
        <v>UAE (Trung Đông)</v>
      </c>
      <c r="C10" s="35" t="str">
        <f>INDEX('RAW_Market'!$C:$C,MATCH($L10,'RAW_Market'!$A:$A,0))</f>
        <v>UAE</v>
      </c>
      <c r="D10" s="36" t="str">
        <f>INDEX('RAW_Market'!$E:$E,MATCH($L10,'RAW_Market'!$A:$A,0))</f>
        <v>0.05</v>
      </c>
      <c r="E10" s="37" t="str">
        <f>INDEX('RAW_Market'!$H:$H,MATCH($L10,'RAW_Market'!$A:$A,0))</f>
        <v>XK trực tiếp cho importer Dubai (HALAL) → VPĐD/free-zone làm hub tái xuất GCC &amp; châu Phi</v>
      </c>
      <c r="F10" s="37" t="str">
        <f>INDEX(RAW_BuyerCulture!$C:$C,MATCH($L10,RAW_BuyerCulture!$A:$A,0))</f>
        <v>Dựa quan hệ &amp; uy tín cá nhân; đàm phán linh hoạt, không gấp gáp.</v>
      </c>
      <c r="G10" s="37" t="str">
        <f>INDEX(RAW_BuyerCulture!$E:$E,MATCH($L10,RAW_BuyerCulture!$A:$A,0))</f>
        <v>Đối tác dài hạn, đáng tin; sản phẩm HALAL đúng chuẩn.</v>
      </c>
      <c r="L10" s="27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00_README</vt:lpstr>
      <vt:lpstr>RAW_Company</vt:lpstr>
      <vt:lpstr>RAW_Product</vt:lpstr>
      <vt:lpstr>RAW_Certificate</vt:lpstr>
      <vt:lpstr>RAW_Media</vt:lpstr>
      <vt:lpstr>RAW_Market</vt:lpstr>
      <vt:lpstr>RAW_Config</vt:lpstr>
      <vt:lpstr>BRG_Product_Certificate</vt:lpstr>
      <vt:lpstr>BRG_Product_Media</vt:lpstr>
      <vt:lpstr>BRG_Company_Certificate</vt:lpstr>
      <vt:lpstr>BRG_Company_Market</vt:lpstr>
      <vt:lpstr>V_CompanyProfile</vt:lpstr>
      <vt:lpstr>V_Catalogue</vt:lpstr>
      <vt:lpstr>V_OnePager</vt:lpstr>
      <vt:lpstr>V_ProductCertMatrix</vt:lpstr>
      <vt:lpstr>90_Relationships</vt:lpstr>
      <vt:lpstr>RAW_Model</vt:lpstr>
      <vt:lpstr>RAW_BuyerCulture</vt:lpstr>
      <vt:lpstr>RAW_Regulation</vt:lpstr>
      <vt:lpstr>RAW_Phase</vt:lpstr>
      <vt:lpstr>RAW_Action</vt:lpstr>
      <vt:lpstr>BRG_Market_Model</vt:lpstr>
      <vt:lpstr>V_PriorityMatrix</vt:lpstr>
      <vt:lpstr>V_MarketStrategy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Hoang Anh</cp:lastModifiedBy>
  <dcterms:created xsi:type="dcterms:W3CDTF">2026-08-29T05:15:09Z</dcterms:created>
  <dcterms:modified xsi:type="dcterms:W3CDTF">2026-08-29T06:15:57Z</dcterms:modified>
</cp:coreProperties>
</file>