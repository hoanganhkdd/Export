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Tong quan" sheetId="1" state="visible" r:id="rId1"/>
    <sheet xmlns:r="http://schemas.openxmlformats.org/officeDocument/2006/relationships" name="Mục lục" sheetId="2" state="visible" r:id="rId2"/>
    <sheet xmlns:r="http://schemas.openxmlformats.org/officeDocument/2006/relationships" name="1. PM Trái cây" sheetId="3" state="visible" r:id="rId3"/>
    <sheet xmlns:r="http://schemas.openxmlformats.org/officeDocument/2006/relationships" name="2. PM Thủy sản" sheetId="4" state="visible" r:id="rId4"/>
    <sheet xmlns:r="http://schemas.openxmlformats.org/officeDocument/2006/relationships" name="3. Lợi thế nhóm hàng" sheetId="5" state="visible" r:id="rId5"/>
    <sheet xmlns:r="http://schemas.openxmlformats.org/officeDocument/2006/relationships" name="4. Bản đồ thị trường" sheetId="6" state="visible" r:id="rId6"/>
    <sheet xmlns:r="http://schemas.openxmlformats.org/officeDocument/2006/relationships" name="5. Ma trận ưu tiên" sheetId="7" state="visible" r:id="rId7"/>
    <sheet xmlns:r="http://schemas.openxmlformats.org/officeDocument/2006/relationships" name="6. Lộ trình 2026-2030" sheetId="8" state="visible" r:id="rId8"/>
    <sheet xmlns:r="http://schemas.openxmlformats.org/officeDocument/2006/relationships" name="7. Trái cây sấy" sheetId="9" state="visible" r:id="rId9"/>
    <sheet xmlns:r="http://schemas.openxmlformats.org/officeDocument/2006/relationships" name="8. EU &amp; Mỹ chuyên sâu" sheetId="10" state="visible" r:id="rId10"/>
    <sheet xmlns:r="http://schemas.openxmlformats.org/officeDocument/2006/relationships" name="9. Kim ngạch &amp; Biểu đồ" sheetId="11" state="visible" r:id="rId11"/>
    <sheet xmlns:r="http://schemas.openxmlformats.org/officeDocument/2006/relationships" name="10. Buyer EU &amp; Mỹ (sấy)" sheetId="12" state="visible" r:id="rId12"/>
    <sheet xmlns:r="http://schemas.openxmlformats.org/officeDocument/2006/relationships" name="11. Giá FOB &amp; chi phí (sấy)" sheetId="13" state="visible" r:id="rId13"/>
    <sheet xmlns:r="http://schemas.openxmlformats.org/officeDocument/2006/relationships" name="12. Checklist hồ sơ XK sấy" sheetId="14" state="visible" r:id="rId14"/>
    <sheet xmlns:r="http://schemas.openxmlformats.org/officeDocument/2006/relationships" name="13. Cẩm nang thực thi"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quot;%&quot;"/>
  </numFmts>
  <fonts count="28">
    <font>
      <name val="Calibri"/>
      <family val="2"/>
      <color theme="1"/>
      <sz val="11"/>
      <scheme val="minor"/>
    </font>
    <font>
      <name val="Arial"/>
      <b val="1"/>
      <color rgb="00FFFFFF"/>
      <sz val="15"/>
    </font>
    <font>
      <name val="Arial"/>
      <i val="1"/>
      <color rgb="00FFFFFF"/>
      <sz val="9"/>
    </font>
    <font>
      <name val="Arial"/>
      <b val="1"/>
      <color rgb="001F3A5F"/>
      <sz val="10"/>
    </font>
    <font>
      <name val="Arial"/>
      <color rgb="00222222"/>
      <sz val="10"/>
    </font>
    <font>
      <name val="Arial"/>
      <b val="1"/>
      <color rgb="00FFFFFF"/>
      <sz val="10"/>
    </font>
    <font>
      <name val="Arial"/>
      <color rgb="00222222"/>
      <sz val="9"/>
    </font>
    <font>
      <name val="Arial"/>
      <b val="1"/>
      <color rgb="002E7D32"/>
      <sz val="10"/>
    </font>
    <font>
      <name val="Arial"/>
      <b val="1"/>
      <color rgb="000E7C7B"/>
      <sz val="10"/>
    </font>
    <font>
      <name val="Arial"/>
      <color rgb="00C0392B"/>
      <sz val="9"/>
    </font>
    <font>
      <name val="Arial"/>
      <b val="1"/>
      <color rgb="00FFFFFF"/>
      <sz val="9"/>
    </font>
    <font>
      <name val="Arial"/>
      <i val="1"/>
      <color rgb="00333333"/>
      <sz val="9"/>
    </font>
    <font>
      <name val="Arial"/>
      <b val="1"/>
      <color rgb="00222222"/>
      <sz val="10"/>
    </font>
    <font>
      <name val="Arial"/>
      <b val="1"/>
      <color rgb="001F3A5F"/>
      <sz val="11"/>
    </font>
    <font>
      <name val="Arial"/>
      <b val="1"/>
      <color rgb="00FFFFFF"/>
      <sz val="11"/>
    </font>
    <font>
      <name val="Arial"/>
      <b val="1"/>
      <color rgb="001F3A5F"/>
      <sz val="9"/>
    </font>
    <font>
      <name val="Arial"/>
      <b val="1"/>
      <color rgb="00E67E22"/>
      <sz val="10"/>
    </font>
    <font>
      <name val="Arial"/>
      <b val="1"/>
      <color rgb="00C79A3B"/>
      <sz val="10"/>
    </font>
    <font>
      <name val="Arial"/>
      <color rgb="002E7D32"/>
      <sz val="9"/>
    </font>
    <font>
      <name val="Arial"/>
      <b val="1"/>
      <color rgb="00C0392B"/>
      <sz val="10"/>
    </font>
    <font>
      <name val="Arial"/>
      <b val="1"/>
      <color rgb="002E7D32"/>
      <sz val="9"/>
    </font>
    <font>
      <name val="Arial"/>
      <b val="1"/>
      <color rgb="000E7C7B"/>
      <sz val="9"/>
    </font>
    <font>
      <name val="Arial"/>
      <b val="1"/>
      <color rgb="00C79A3B"/>
      <sz val="9"/>
    </font>
    <font>
      <name val="Arial"/>
      <i val="1"/>
      <color rgb="00555555"/>
      <sz val="8"/>
    </font>
    <font>
      <name val="Arial"/>
      <b val="1"/>
      <color rgb="002E86C1"/>
      <sz val="9"/>
    </font>
    <font>
      <name val="Arial"/>
      <color rgb="00222222"/>
      <sz val="12"/>
    </font>
    <font>
      <name val="Arial"/>
      <b val="1"/>
      <color rgb="00C0392B"/>
      <sz val="9"/>
    </font>
    <font>
      <name val="Arial"/>
      <b val="1"/>
      <color rgb="00C79A3B"/>
      <sz val="11"/>
    </font>
  </fonts>
  <fills count="13">
    <fill>
      <patternFill/>
    </fill>
    <fill>
      <patternFill patternType="gray125"/>
    </fill>
    <fill>
      <patternFill patternType="solid">
        <fgColor rgb="001F3A5F"/>
      </patternFill>
    </fill>
    <fill>
      <patternFill patternType="solid">
        <fgColor rgb="002E7D32"/>
      </patternFill>
    </fill>
    <fill>
      <patternFill patternType="solid">
        <fgColor rgb="00EEF3F8"/>
      </patternFill>
    </fill>
    <fill>
      <patternFill patternType="solid">
        <fgColor rgb="00FFFFFF"/>
      </patternFill>
    </fill>
    <fill>
      <patternFill patternType="solid">
        <fgColor rgb="000E7C7B"/>
      </patternFill>
    </fill>
    <fill>
      <patternFill patternType="solid">
        <fgColor rgb="00C79A3B"/>
      </patternFill>
    </fill>
    <fill>
      <patternFill patternType="solid">
        <fgColor rgb="00E67E22"/>
      </patternFill>
    </fill>
    <fill>
      <patternFill patternType="solid">
        <fgColor rgb="00FDF6E3"/>
      </patternFill>
    </fill>
    <fill>
      <patternFill patternType="solid">
        <fgColor rgb="002E86C1"/>
      </patternFill>
    </fill>
    <fill>
      <patternFill patternType="solid">
        <fgColor rgb="00C0392B"/>
      </patternFill>
    </fill>
    <fill>
      <patternFill patternType="solid">
        <fgColor rgb="007D3C98"/>
      </patternFill>
    </fill>
  </fills>
  <borders count="6">
    <border>
      <left/>
      <right/>
      <top/>
      <bottom/>
      <diagonal/>
    </border>
    <border>
      <left style="thin">
        <color rgb="00D0D7DE"/>
      </left>
      <right style="thin">
        <color rgb="00D0D7DE"/>
      </right>
      <top style="thin">
        <color rgb="00D0D7DE"/>
      </top>
      <bottom style="thin">
        <color rgb="00D0D7DE"/>
      </bottom>
    </border>
    <border>
      <left/>
      <right/>
      <top style="thin">
        <color rgb="00D0D7DE"/>
      </top>
      <bottom/>
      <diagonal/>
    </border>
    <border>
      <left/>
      <right style="thin">
        <color rgb="00D0D7DE"/>
      </right>
      <top style="thin">
        <color rgb="00D0D7DE"/>
      </top>
      <bottom/>
      <diagonal/>
    </border>
    <border>
      <left/>
      <right/>
      <top style="thin">
        <color rgb="00D0D7DE"/>
      </top>
      <bottom style="thin">
        <color rgb="00D0D7DE"/>
      </bottom>
      <diagonal/>
    </border>
    <border>
      <left/>
      <right style="thin">
        <color rgb="00D0D7DE"/>
      </right>
      <top style="thin">
        <color rgb="00D0D7DE"/>
      </top>
      <bottom style="thin">
        <color rgb="00D0D7DE"/>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1" fillId="3" borderId="0" applyAlignment="1" pivotButton="0" quotePrefix="0" xfId="0">
      <alignment horizontal="left" vertical="center" indent="1"/>
    </xf>
    <xf numFmtId="0" fontId="2" fillId="3" borderId="0" applyAlignment="1" pivotButton="0" quotePrefix="0" xfId="0">
      <alignment horizontal="left" vertical="center" indent="1"/>
    </xf>
    <xf numFmtId="0" fontId="5" fillId="3" borderId="1" applyAlignment="1" pivotButton="0" quotePrefix="0" xfId="0">
      <alignment horizontal="center" vertical="center" wrapText="1"/>
    </xf>
    <xf numFmtId="0" fontId="7"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left" vertical="top" wrapText="1"/>
    </xf>
    <xf numFmtId="0" fontId="6" fillId="5" borderId="1" applyAlignment="1" pivotButton="0" quotePrefix="0" xfId="0">
      <alignment horizontal="left" vertical="top" wrapText="1"/>
    </xf>
    <xf numFmtId="0" fontId="1" fillId="6" borderId="0" applyAlignment="1" pivotButton="0" quotePrefix="0" xfId="0">
      <alignment horizontal="left" vertical="center" indent="1"/>
    </xf>
    <xf numFmtId="0" fontId="2" fillId="6" borderId="0" applyAlignment="1" pivotButton="0" quotePrefix="0" xfId="0">
      <alignment horizontal="left" vertical="center" indent="1"/>
    </xf>
    <xf numFmtId="0" fontId="5" fillId="6" borderId="1" applyAlignment="1" pivotButton="0" quotePrefix="0" xfId="0">
      <alignment horizontal="center" vertical="center" wrapText="1"/>
    </xf>
    <xf numFmtId="0" fontId="8" fillId="4" borderId="1" applyAlignment="1" pivotButton="0" quotePrefix="0" xfId="0">
      <alignment horizontal="left" vertical="top" wrapText="1"/>
    </xf>
    <xf numFmtId="0" fontId="8" fillId="5" borderId="1" applyAlignment="1" pivotButton="0" quotePrefix="0" xfId="0">
      <alignment horizontal="left" vertical="top" wrapText="1"/>
    </xf>
    <xf numFmtId="0" fontId="1" fillId="7" borderId="0" applyAlignment="1" pivotButton="0" quotePrefix="0" xfId="0">
      <alignment horizontal="left" vertical="center" indent="1"/>
    </xf>
    <xf numFmtId="0" fontId="2" fillId="7" borderId="0" applyAlignment="1" pivotButton="0" quotePrefix="0" xfId="0">
      <alignment horizontal="left" vertical="center" indent="1"/>
    </xf>
    <xf numFmtId="0" fontId="5" fillId="7" borderId="1" applyAlignment="1" pivotButton="0" quotePrefix="0" xfId="0">
      <alignment horizontal="center" vertical="center" wrapText="1"/>
    </xf>
    <xf numFmtId="0" fontId="9" fillId="4" borderId="1" applyAlignment="1" pivotButton="0" quotePrefix="0" xfId="0">
      <alignment horizontal="left" vertical="top" wrapText="1"/>
    </xf>
    <xf numFmtId="0" fontId="9" fillId="5" borderId="1" applyAlignment="1" pivotButton="0" quotePrefix="0" xfId="0">
      <alignment horizontal="left" vertical="top" wrapText="1"/>
    </xf>
    <xf numFmtId="0" fontId="5" fillId="2" borderId="1" applyAlignment="1" pivotButton="0" quotePrefix="0" xfId="0">
      <alignment horizontal="center" vertical="center" wrapText="1"/>
    </xf>
    <xf numFmtId="0" fontId="3" fillId="4" borderId="1" applyAlignment="1" pivotButton="0" quotePrefix="0" xfId="0">
      <alignment horizontal="left" vertical="top" wrapText="1"/>
    </xf>
    <xf numFmtId="0" fontId="10" fillId="3" borderId="1" applyAlignment="1" pivotButton="0" quotePrefix="0" xfId="0">
      <alignment horizontal="center" vertical="center" wrapText="1"/>
    </xf>
    <xf numFmtId="0" fontId="3" fillId="5" borderId="1" applyAlignment="1" pivotButton="0" quotePrefix="0" xfId="0">
      <alignment horizontal="left" vertical="top" wrapText="1"/>
    </xf>
    <xf numFmtId="0" fontId="10" fillId="8" borderId="1" applyAlignment="1" pivotButton="0" quotePrefix="0" xfId="0">
      <alignment horizontal="center" vertical="center" wrapText="1"/>
    </xf>
    <xf numFmtId="0" fontId="11" fillId="9" borderId="0" applyAlignment="1" pivotButton="0" quotePrefix="0" xfId="0">
      <alignment horizontal="left" vertical="top" wrapText="1"/>
    </xf>
    <xf numFmtId="0" fontId="12" fillId="4" borderId="1" pivotButton="0" quotePrefix="0" xfId="0"/>
    <xf numFmtId="0" fontId="0" fillId="4" borderId="1" applyAlignment="1" pivotButton="0" quotePrefix="0" xfId="0">
      <alignment horizontal="center" vertical="center"/>
    </xf>
    <xf numFmtId="0" fontId="13" fillId="4" borderId="1" applyAlignment="1" pivotButton="0" quotePrefix="0" xfId="0">
      <alignment horizontal="center" vertical="center"/>
    </xf>
    <xf numFmtId="0" fontId="0" fillId="4" borderId="1" applyAlignment="1" pivotButton="0" quotePrefix="0" xfId="0">
      <alignment horizontal="left" vertical="top" wrapText="1"/>
    </xf>
    <xf numFmtId="0" fontId="12" fillId="5" borderId="1" pivotButton="0" quotePrefix="0" xfId="0"/>
    <xf numFmtId="0" fontId="0" fillId="5" borderId="1" applyAlignment="1" pivotButton="0" quotePrefix="0" xfId="0">
      <alignment horizontal="center" vertical="center"/>
    </xf>
    <xf numFmtId="0" fontId="13" fillId="5" borderId="1" applyAlignment="1" pivotButton="0" quotePrefix="0" xfId="0">
      <alignment horizontal="center" vertical="center"/>
    </xf>
    <xf numFmtId="0" fontId="0" fillId="5" borderId="1" applyAlignment="1" pivotButton="0" quotePrefix="0" xfId="0">
      <alignment horizontal="left" vertical="top" wrapText="1"/>
    </xf>
    <xf numFmtId="0" fontId="10"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14" fillId="3" borderId="0" applyAlignment="1" pivotButton="0" quotePrefix="0" xfId="0">
      <alignment horizontal="center" vertical="center" wrapText="1"/>
    </xf>
    <xf numFmtId="0" fontId="15" fillId="4" borderId="1" applyAlignment="1" pivotButton="0" quotePrefix="0" xfId="0">
      <alignment horizontal="left" vertical="top" wrapText="1"/>
    </xf>
    <xf numFmtId="0" fontId="14" fillId="8" borderId="0" applyAlignment="1" pivotButton="0" quotePrefix="0" xfId="0">
      <alignment horizontal="center" vertical="center" wrapText="1"/>
    </xf>
    <xf numFmtId="0" fontId="16" fillId="5" borderId="1" applyAlignment="1" pivotButton="0" quotePrefix="0" xfId="0">
      <alignment horizontal="left" vertical="top" wrapText="1"/>
    </xf>
    <xf numFmtId="0" fontId="15" fillId="5" borderId="1" applyAlignment="1" pivotButton="0" quotePrefix="0" xfId="0">
      <alignment horizontal="left" vertical="top" wrapText="1"/>
    </xf>
    <xf numFmtId="0" fontId="14" fillId="2" borderId="0" applyAlignment="1" pivotButton="0" quotePrefix="0" xfId="0">
      <alignment horizontal="center" vertical="center" wrapText="1"/>
    </xf>
    <xf numFmtId="0" fontId="17" fillId="4" borderId="1" applyAlignment="1" pivotButton="0" quotePrefix="0" xfId="0">
      <alignment horizontal="left" vertical="top" wrapText="1"/>
    </xf>
    <xf numFmtId="0" fontId="18" fillId="4" borderId="1" applyAlignment="1" pivotButton="0" quotePrefix="0" xfId="0">
      <alignment horizontal="left" vertical="top" wrapText="1"/>
    </xf>
    <xf numFmtId="0" fontId="17" fillId="5" borderId="1" applyAlignment="1" pivotButton="0" quotePrefix="0" xfId="0">
      <alignment horizontal="left" vertical="top" wrapText="1"/>
    </xf>
    <xf numFmtId="0" fontId="18" fillId="5" borderId="1" applyAlignment="1" pivotButton="0" quotePrefix="0" xfId="0">
      <alignment horizontal="left" vertical="top" wrapText="1"/>
    </xf>
    <xf numFmtId="0" fontId="10" fillId="7" borderId="1" applyAlignment="1" pivotButton="0" quotePrefix="0" xfId="0">
      <alignment horizontal="center" vertical="center" wrapText="1"/>
    </xf>
    <xf numFmtId="0" fontId="14" fillId="7" borderId="0" applyAlignment="1" pivotButton="0" quotePrefix="0" xfId="0">
      <alignment horizontal="left" vertical="center" indent="1"/>
    </xf>
    <xf numFmtId="0" fontId="4" fillId="5" borderId="1" applyAlignment="1" pivotButton="0" quotePrefix="0" xfId="0">
      <alignment horizontal="left" vertical="top" wrapText="1"/>
    </xf>
    <xf numFmtId="0" fontId="19" fillId="4" borderId="1" applyAlignment="1" pivotButton="0" quotePrefix="0" xfId="0">
      <alignment horizontal="left" vertical="top" wrapText="1"/>
    </xf>
    <xf numFmtId="0" fontId="14" fillId="3" borderId="0" applyAlignment="1" pivotButton="0" quotePrefix="0" xfId="0">
      <alignment horizontal="left" vertical="center" indent="1"/>
    </xf>
    <xf numFmtId="0" fontId="20" fillId="4" borderId="1" applyAlignment="1" pivotButton="0" quotePrefix="0" xfId="0">
      <alignment horizontal="left" vertical="top" wrapText="1"/>
    </xf>
    <xf numFmtId="2" fontId="6" fillId="0" borderId="1" applyAlignment="1" pivotButton="0" quotePrefix="0" xfId="0">
      <alignment horizontal="center" vertical="center"/>
    </xf>
    <xf numFmtId="0" fontId="20" fillId="5" borderId="1" applyAlignment="1" pivotButton="0" quotePrefix="0" xfId="0">
      <alignment horizontal="left" vertical="top" wrapText="1"/>
    </xf>
    <xf numFmtId="0" fontId="14" fillId="6" borderId="0" applyAlignment="1" pivotButton="0" quotePrefix="0" xfId="0">
      <alignment horizontal="left" vertical="center" indent="1"/>
    </xf>
    <xf numFmtId="0" fontId="10" fillId="6" borderId="1" applyAlignment="1" pivotButton="0" quotePrefix="0" xfId="0">
      <alignment horizontal="center" vertical="center" wrapText="1"/>
    </xf>
    <xf numFmtId="0" fontId="21" fillId="4" borderId="1" applyAlignment="1" pivotButton="0" quotePrefix="0" xfId="0">
      <alignment horizontal="left" vertical="top" wrapText="1"/>
    </xf>
    <xf numFmtId="0" fontId="21" fillId="5" borderId="1" applyAlignment="1" pivotButton="0" quotePrefix="0" xfId="0">
      <alignment horizontal="left" vertical="top" wrapText="1"/>
    </xf>
    <xf numFmtId="0" fontId="6" fillId="0" borderId="1" applyAlignment="1" pivotButton="0" quotePrefix="0" xfId="0">
      <alignment horizontal="left" vertical="top" wrapText="1"/>
    </xf>
    <xf numFmtId="1" fontId="6" fillId="0" borderId="1" applyAlignment="1" pivotButton="0" quotePrefix="0" xfId="0">
      <alignment horizontal="center" vertical="center"/>
    </xf>
    <xf numFmtId="0" fontId="22" fillId="0" borderId="1" applyAlignment="1" pivotButton="0" quotePrefix="0" xfId="0">
      <alignment horizontal="left" vertical="top" wrapText="1"/>
    </xf>
    <xf numFmtId="0" fontId="14" fillId="2" borderId="0" applyAlignment="1" pivotButton="0" quotePrefix="0" xfId="0">
      <alignment horizontal="left" vertical="center" indent="1"/>
    </xf>
    <xf numFmtId="0" fontId="10" fillId="2" borderId="1" applyAlignment="1" pivotButton="0" quotePrefix="0" xfId="0">
      <alignment horizontal="center" vertical="center" wrapText="1"/>
    </xf>
    <xf numFmtId="0" fontId="15" fillId="0" borderId="1" applyAlignment="1" pivotButton="0" quotePrefix="0" xfId="0">
      <alignment horizontal="left" vertical="top" wrapText="1"/>
    </xf>
    <xf numFmtId="164" fontId="6" fillId="0" borderId="1" applyAlignment="1" pivotButton="0" quotePrefix="0" xfId="0">
      <alignment horizontal="center" vertical="center"/>
    </xf>
    <xf numFmtId="0" fontId="23" fillId="9" borderId="0" applyAlignment="1" pivotButton="0" quotePrefix="0" xfId="0">
      <alignment horizontal="left" vertical="top" wrapText="1"/>
    </xf>
    <xf numFmtId="0" fontId="0" fillId="0" borderId="4" pivotButton="0" quotePrefix="0" xfId="0"/>
    <xf numFmtId="0" fontId="0" fillId="0" borderId="5" pivotButton="0" quotePrefix="0" xfId="0"/>
    <xf numFmtId="0" fontId="24" fillId="5" borderId="1" applyAlignment="1" pivotButton="0" quotePrefix="0" xfId="0">
      <alignment horizontal="left" vertical="top" wrapText="1"/>
    </xf>
    <xf numFmtId="0" fontId="24" fillId="4" borderId="1" applyAlignment="1" pivotButton="0" quotePrefix="0" xfId="0">
      <alignment horizontal="left" vertical="top" wrapText="1"/>
    </xf>
    <xf numFmtId="164" fontId="20" fillId="4" borderId="1" applyAlignment="1" pivotButton="0" quotePrefix="0" xfId="0">
      <alignment horizontal="center" vertical="center"/>
    </xf>
    <xf numFmtId="164" fontId="20" fillId="5" borderId="1" applyAlignment="1" pivotButton="0" quotePrefix="0" xfId="0">
      <alignment horizontal="center" vertical="center"/>
    </xf>
    <xf numFmtId="165" fontId="22" fillId="5" borderId="1" applyAlignment="1" pivotButton="0" quotePrefix="0" xfId="0">
      <alignment horizontal="center" vertical="center"/>
    </xf>
    <xf numFmtId="165" fontId="22" fillId="4" borderId="1" applyAlignment="1" pivotButton="0" quotePrefix="0" xfId="0">
      <alignment horizontal="center" vertical="center"/>
    </xf>
    <xf numFmtId="0" fontId="25" fillId="4" borderId="1" applyAlignment="1" pivotButton="0" quotePrefix="0" xfId="0">
      <alignment horizontal="center" vertical="center"/>
    </xf>
    <xf numFmtId="0" fontId="15" fillId="4" borderId="1" applyAlignment="1" pivotButton="0" quotePrefix="0" xfId="0">
      <alignment horizontal="center" vertical="center"/>
    </xf>
    <xf numFmtId="0" fontId="26" fillId="4" borderId="1" applyAlignment="1" pivotButton="0" quotePrefix="0" xfId="0">
      <alignment horizontal="center" vertical="center" wrapText="1"/>
    </xf>
    <xf numFmtId="0" fontId="25" fillId="5" borderId="1" applyAlignment="1" pivotButton="0" quotePrefix="0" xfId="0">
      <alignment horizontal="center" vertical="center"/>
    </xf>
    <xf numFmtId="0" fontId="15" fillId="5" borderId="1" applyAlignment="1" pivotButton="0" quotePrefix="0" xfId="0">
      <alignment horizontal="center" vertical="center"/>
    </xf>
    <xf numFmtId="0" fontId="26" fillId="5" borderId="1" applyAlignment="1" pivotButton="0" quotePrefix="0" xfId="0">
      <alignment horizontal="center" vertical="center" wrapText="1"/>
    </xf>
    <xf numFmtId="0" fontId="18" fillId="4" borderId="1" applyAlignment="1" pivotButton="0" quotePrefix="0" xfId="0">
      <alignment horizontal="center" vertical="center" wrapText="1"/>
    </xf>
    <xf numFmtId="0" fontId="14" fillId="10" borderId="0" applyAlignment="1" pivotButton="0" quotePrefix="0" xfId="0">
      <alignment horizontal="left" vertical="center" indent="1"/>
    </xf>
    <xf numFmtId="0" fontId="22" fillId="4" borderId="1" applyAlignment="1" pivotButton="0" quotePrefix="0" xfId="0">
      <alignment horizontal="center" vertical="center" wrapText="1"/>
    </xf>
    <xf numFmtId="0" fontId="14" fillId="11" borderId="0" applyAlignment="1" pivotButton="0" quotePrefix="0" xfId="0">
      <alignment horizontal="left" vertical="center" indent="1"/>
    </xf>
    <xf numFmtId="0" fontId="22" fillId="5" borderId="1" applyAlignment="1" pivotButton="0" quotePrefix="0" xfId="0">
      <alignment horizontal="center" vertical="center" wrapText="1"/>
    </xf>
    <xf numFmtId="0" fontId="12" fillId="4" borderId="1" applyAlignment="1" pivotButton="0" quotePrefix="0" xfId="0">
      <alignment horizontal="left" vertical="top" wrapText="1"/>
    </xf>
    <xf numFmtId="0" fontId="12" fillId="5" borderId="1" applyAlignment="1" pivotButton="0" quotePrefix="0" xfId="0">
      <alignment horizontal="left" vertical="top" wrapText="1"/>
    </xf>
    <xf numFmtId="0" fontId="10" fillId="12" borderId="1" applyAlignment="1" pivotButton="0" quotePrefix="0" xfId="0">
      <alignment horizontal="center" vertical="center" wrapText="1"/>
    </xf>
    <xf numFmtId="0" fontId="27" fillId="4" borderId="1" applyAlignment="1" pivotButton="0" quotePrefix="0" xfId="0">
      <alignment horizontal="center" vertical="center"/>
    </xf>
    <xf numFmtId="0" fontId="9" fillId="4" borderId="1" applyAlignment="1" pivotButton="0" quotePrefix="0" xfId="0">
      <alignment horizontal="center" vertical="center" wrapText="1"/>
    </xf>
    <xf numFmtId="0" fontId="27" fillId="5" borderId="1" applyAlignment="1" pivotButton="0" quotePrefix="0" xfId="0">
      <alignment horizontal="center" vertical="center"/>
    </xf>
    <xf numFmtId="0" fontId="9" fillId="5" borderId="1" applyAlignment="1" pivotButton="0" quotePrefix="0" xfId="0">
      <alignment horizontal="center" vertical="center" wrapText="1"/>
    </xf>
    <xf numFmtId="0" fontId="14" fillId="8" borderId="0" applyAlignment="1" pivotButton="0" quotePrefix="0" xfId="0">
      <alignment horizontal="left" vertical="center" indent="1"/>
    </xf>
    <xf numFmtId="0" fontId="14" fillId="12"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Kim ngạch trái cây theo nhóm (tỷ USD)</a:t>
            </a:r>
          </a:p>
        </rich>
      </tx>
    </title>
    <plotArea>
      <barChart>
        <barDir val="col"/>
        <grouping val="clustered"/>
        <ser>
          <idx val="0"/>
          <order val="0"/>
          <tx>
            <strRef>
              <f>'9. Kim ngạch &amp; Biểu đồ'!B4</f>
            </strRef>
          </tx>
          <spPr>
            <a:ln xmlns:a="http://schemas.openxmlformats.org/drawingml/2006/main">
              <a:prstDash val="solid"/>
            </a:ln>
          </spPr>
          <cat>
            <numRef>
              <f>'9. Kim ngạch &amp; Biểu đồ'!$A$5:$A$11</f>
            </numRef>
          </cat>
          <val>
            <numRef>
              <f>'9. Kim ngạch &amp; Biểu đồ'!$B$5:$B$11</f>
            </numRef>
          </val>
        </ser>
        <ser>
          <idx val="1"/>
          <order val="1"/>
          <tx>
            <strRef>
              <f>'9. Kim ngạch &amp; Biểu đồ'!C4</f>
            </strRef>
          </tx>
          <spPr>
            <a:ln xmlns:a="http://schemas.openxmlformats.org/drawingml/2006/main">
              <a:prstDash val="solid"/>
            </a:ln>
          </spPr>
          <cat>
            <numRef>
              <f>'9. Kim ngạch &amp; Biểu đồ'!$A$5:$A$11</f>
            </numRef>
          </cat>
          <val>
            <numRef>
              <f>'9. Kim ngạch &amp; Biểu đồ'!$C$5:$C$11</f>
            </numRef>
          </val>
        </ser>
        <ser>
          <idx val="2"/>
          <order val="2"/>
          <tx>
            <strRef>
              <f>'9. Kim ngạch &amp; Biểu đồ'!D4</f>
            </strRef>
          </tx>
          <spPr>
            <a:ln xmlns:a="http://schemas.openxmlformats.org/drawingml/2006/main">
              <a:prstDash val="solid"/>
            </a:ln>
          </spPr>
          <cat>
            <numRef>
              <f>'9. Kim ngạch &amp; Biểu đồ'!$A$5:$A$11</f>
            </numRef>
          </cat>
          <val>
            <numRef>
              <f>'9. Kim ngạch &amp; Biểu đồ'!$D$5:$D$11</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tỷ USD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Kim ngạch thủy sản theo nhóm (tỷ USD)</a:t>
            </a:r>
          </a:p>
        </rich>
      </tx>
    </title>
    <plotArea>
      <barChart>
        <barDir val="col"/>
        <grouping val="clustered"/>
        <ser>
          <idx val="0"/>
          <order val="0"/>
          <tx>
            <strRef>
              <f>'9. Kim ngạch &amp; Biểu đồ'!B30</f>
            </strRef>
          </tx>
          <spPr>
            <a:ln xmlns:a="http://schemas.openxmlformats.org/drawingml/2006/main">
              <a:prstDash val="solid"/>
            </a:ln>
          </spPr>
          <cat>
            <numRef>
              <f>'9. Kim ngạch &amp; Biểu đồ'!$A$31:$A$35</f>
            </numRef>
          </cat>
          <val>
            <numRef>
              <f>'9. Kim ngạch &amp; Biểu đồ'!$B$31:$B$35</f>
            </numRef>
          </val>
        </ser>
        <ser>
          <idx val="1"/>
          <order val="1"/>
          <tx>
            <strRef>
              <f>'9. Kim ngạch &amp; Biểu đồ'!C30</f>
            </strRef>
          </tx>
          <spPr>
            <a:ln xmlns:a="http://schemas.openxmlformats.org/drawingml/2006/main">
              <a:prstDash val="solid"/>
            </a:ln>
          </spPr>
          <cat>
            <numRef>
              <f>'9. Kim ngạch &amp; Biểu đồ'!$A$31:$A$35</f>
            </numRef>
          </cat>
          <val>
            <numRef>
              <f>'9. Kim ngạch &amp; Biểu đồ'!$C$31:$C$35</f>
            </numRef>
          </val>
        </ser>
        <ser>
          <idx val="2"/>
          <order val="2"/>
          <tx>
            <strRef>
              <f>'9. Kim ngạch &amp; Biểu đồ'!D30</f>
            </strRef>
          </tx>
          <spPr>
            <a:ln xmlns:a="http://schemas.openxmlformats.org/drawingml/2006/main">
              <a:prstDash val="solid"/>
            </a:ln>
          </spPr>
          <cat>
            <numRef>
              <f>'9. Kim ngạch &amp; Biểu đồ'!$A$31:$A$35</f>
            </numRef>
          </cat>
          <val>
            <numRef>
              <f>'9. Kim ngạch &amp; Biểu đồ'!$D$31:$D$35</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tỷ USD</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Thị trường trái cây 2024 (%)</a:t>
            </a:r>
          </a:p>
        </rich>
      </tx>
    </title>
    <plotArea>
      <pieChart>
        <varyColors val="1"/>
        <ser>
          <idx val="0"/>
          <order val="0"/>
          <tx>
            <strRef>
              <f>'9. Kim ngạch &amp; Biểu đồ'!B54</f>
            </strRef>
          </tx>
          <spPr>
            <a:ln xmlns:a="http://schemas.openxmlformats.org/drawingml/2006/main">
              <a:prstDash val="solid"/>
            </a:ln>
          </spPr>
          <cat>
            <numRef>
              <f>'9. Kim ngạch &amp; Biểu đồ'!$A$55:$A$61</f>
            </numRef>
          </cat>
          <val>
            <numRef>
              <f>'9. Kim ngạch &amp; Biểu đồ'!$B$55:$B$61</f>
            </numRef>
          </val>
        </ser>
        <dLbls>
          <showPercent val="1"/>
        </dLbls>
        <firstSliceAng val="0"/>
      </pie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Thị trường thủy sản 2024 (%)</a:t>
            </a:r>
          </a:p>
        </rich>
      </tx>
    </title>
    <plotArea>
      <pieChart>
        <varyColors val="1"/>
        <ser>
          <idx val="0"/>
          <order val="0"/>
          <tx>
            <strRef>
              <f>'9. Kim ngạch &amp; Biểu đồ'!B63</f>
            </strRef>
          </tx>
          <spPr>
            <a:ln xmlns:a="http://schemas.openxmlformats.org/drawingml/2006/main">
              <a:prstDash val="solid"/>
            </a:ln>
          </spPr>
          <cat>
            <numRef>
              <f>'9. Kim ngạch &amp; Biểu đồ'!$A$64:$A$69</f>
            </numRef>
          </cat>
          <val>
            <numRef>
              <f>'9. Kim ngạch &amp; Biểu đồ'!$B$64:$B$69</f>
            </numRef>
          </val>
        </ser>
        <dLbls>
          <showPercent val="1"/>
        </dLbls>
        <firstSliceAng val="0"/>
      </pieChart>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Trái cây sấy — dự báo kim ngạch (triệu USD)</a:t>
            </a:r>
          </a:p>
        </rich>
      </tx>
    </title>
    <plotArea>
      <lineChart>
        <grouping val="standard"/>
        <ser>
          <idx val="0"/>
          <order val="0"/>
          <tx>
            <strRef>
              <f>'9. Kim ngạch &amp; Biểu đồ'!A74</f>
            </strRef>
          </tx>
          <spPr>
            <a:ln xmlns:a="http://schemas.openxmlformats.org/drawingml/2006/main" w="28000">
              <a:prstDash val="solid"/>
            </a:ln>
          </spPr>
          <marker>
            <symbol val="none"/>
            <spPr>
              <a:ln xmlns:a="http://schemas.openxmlformats.org/drawingml/2006/main">
                <a:prstDash val="solid"/>
              </a:ln>
            </spPr>
          </marker>
          <cat>
            <numRef>
              <f>'9. Kim ngạch &amp; Biểu đồ'!$B$73:$G$73</f>
            </numRef>
          </cat>
          <val>
            <numRef>
              <f>'9. Kim ngạch &amp; Biểu đồ'!$B$74:$G$74</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triệu USD</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Mục tiêu kim ngạch 2025 → 2030 (tỷ USD)</a:t>
            </a:r>
          </a:p>
        </rich>
      </tx>
    </title>
    <plotArea>
      <barChart>
        <barDir val="col"/>
        <grouping val="clustered"/>
        <ser>
          <idx val="0"/>
          <order val="0"/>
          <tx>
            <strRef>
              <f>'9. Kim ngạch &amp; Biểu đồ'!B93</f>
            </strRef>
          </tx>
          <spPr>
            <a:ln xmlns:a="http://schemas.openxmlformats.org/drawingml/2006/main">
              <a:prstDash val="solid"/>
            </a:ln>
          </spPr>
          <cat>
            <numRef>
              <f>'9. Kim ngạch &amp; Biểu đồ'!$A$94:$A$95</f>
            </numRef>
          </cat>
          <val>
            <numRef>
              <f>'9. Kim ngạch &amp; Biểu đồ'!$B$94:$B$95</f>
            </numRef>
          </val>
        </ser>
        <ser>
          <idx val="1"/>
          <order val="1"/>
          <tx>
            <strRef>
              <f>'9. Kim ngạch &amp; Biểu đồ'!C93</f>
            </strRef>
          </tx>
          <spPr>
            <a:ln xmlns:a="http://schemas.openxmlformats.org/drawingml/2006/main">
              <a:prstDash val="solid"/>
            </a:ln>
          </spPr>
          <cat>
            <numRef>
              <f>'9. Kim ngạch &amp; Biểu đồ'!$A$94:$A$95</f>
            </numRef>
          </cat>
          <val>
            <numRef>
              <f>'9. Kim ngạch &amp; Biểu đồ'!$C$94:$C$95</f>
            </numRef>
          </val>
        </ser>
        <gapWidth val="8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tỷ USD</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Khoảng giá FOB theo dòng SP (USD/kg)</a:t>
            </a:r>
          </a:p>
        </rich>
      </tx>
    </title>
    <plotArea>
      <barChart>
        <barDir val="bar"/>
        <grouping val="clustered"/>
        <ser>
          <idx val="0"/>
          <order val="0"/>
          <tx>
            <strRef>
              <f>'11. Giá FOB &amp; chi phí (sấy)'!B4</f>
            </strRef>
          </tx>
          <spPr>
            <a:ln xmlns:a="http://schemas.openxmlformats.org/drawingml/2006/main">
              <a:prstDash val="solid"/>
            </a:ln>
          </spPr>
          <cat>
            <numRef>
              <f>'11. Giá FOB &amp; chi phí (sấy)'!$A$5:$A$14</f>
            </numRef>
          </cat>
          <val>
            <numRef>
              <f>'11. Giá FOB &amp; chi phí (sấy)'!$B$5:$B$14</f>
            </numRef>
          </val>
        </ser>
        <ser>
          <idx val="1"/>
          <order val="1"/>
          <tx>
            <strRef>
              <f>'11. Giá FOB &amp; chi phí (sấy)'!C4</f>
            </strRef>
          </tx>
          <spPr>
            <a:ln xmlns:a="http://schemas.openxmlformats.org/drawingml/2006/main">
              <a:prstDash val="solid"/>
            </a:ln>
          </spPr>
          <cat>
            <numRef>
              <f>'11. Giá FOB &amp; chi phí (sấy)'!$A$5:$A$14</f>
            </numRef>
          </cat>
          <val>
            <numRef>
              <f>'11. Giá FOB &amp; chi phí (sấy)'!$C$5:$C$14</f>
            </numRef>
          </val>
        </ser>
        <gapWidth val="50"/>
        <axId val="10"/>
        <axId val="100"/>
      </barChart>
      <catAx>
        <axId val="10"/>
        <scaling>
          <orientation val="minMax"/>
        </scaling>
        <axPos val="l"/>
        <title>
          <tx>
            <rich>
              <a:bodyPr xmlns:a="http://schemas.openxmlformats.org/drawingml/2006/main"/>
              <a:p xmlns:a="http://schemas.openxmlformats.org/drawingml/2006/main">
                <a:pPr>
                  <a:defRPr/>
                </a:pPr>
                <a:r>
                  <a:t>USD/kg</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Cơ cấu chi phí — Xoài sấy dẻo (%)</a:t>
            </a:r>
          </a:p>
        </rich>
      </tx>
    </title>
    <plotArea>
      <pieChart>
        <varyColors val="1"/>
        <ser>
          <idx val="0"/>
          <order val="0"/>
          <tx>
            <strRef>
              <f>'11. Giá FOB &amp; chi phí (sấy)'!B18</f>
            </strRef>
          </tx>
          <spPr>
            <a:ln xmlns:a="http://schemas.openxmlformats.org/drawingml/2006/main">
              <a:prstDash val="solid"/>
            </a:ln>
          </spPr>
          <cat>
            <numRef>
              <f>'11. Giá FOB &amp; chi phí (sấy)'!$A$19:$A$27</f>
            </numRef>
          </cat>
          <val>
            <numRef>
              <f>'11. Giá FOB &amp; chi phí (sấy)'!$B$19:$B$27</f>
            </numRef>
          </val>
        </ser>
        <dLbls>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drawing1.xml><?xml version="1.0" encoding="utf-8"?>
<wsDr xmlns="http://schemas.openxmlformats.org/drawingml/2006/spreadsheetDrawing">
  <oneCellAnchor>
    <from>
      <col>0</col>
      <colOff>0</colOff>
      <row>12</row>
      <rowOff>0</rowOff>
    </from>
    <ext cx="612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36</row>
      <rowOff>0</rowOff>
    </from>
    <ext cx="6120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53</row>
      <rowOff>0</rowOff>
    </from>
    <ext cx="32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3</col>
      <colOff>0</colOff>
      <row>62</row>
      <rowOff>0</rowOff>
    </from>
    <ext cx="324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75</row>
      <rowOff>0</rowOff>
    </from>
    <ext cx="612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92</row>
      <rowOff>0</rowOff>
    </from>
    <ext cx="468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2.xml><?xml version="1.0" encoding="utf-8"?>
<wsDr xmlns="http://schemas.openxmlformats.org/drawingml/2006/spreadsheetDrawing">
  <oneCellAnchor>
    <from>
      <col>6</col>
      <colOff>0</colOff>
      <row>3</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17</row>
      <rowOff>0</rowOff>
    </from>
    <ext cx="39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1" ht="34" customHeight="1">
      <c r="A1" s="1" t="inlineStr">
        <is>
          <t>BẢN ĐỒ CHIẾN LƯỢC XUẤT KHẨU TRÁI CÂY &amp; THỦY SẢN VIỆT NAM 2026–2030</t>
        </is>
      </c>
    </row>
    <row r="2" ht="18" customHeight="1">
      <c r="A2" s="2" t="inlineStr">
        <is>
          <t>Product Mapping · Lợi thế nhóm hàng · Bản đồ 8 thị trường · Ma trận ưu tiên · Lộ trình chiến lược</t>
        </is>
      </c>
    </row>
    <row r="3" ht="8" customHeight="1"/>
    <row r="4" ht="30" customHeight="1">
      <c r="B4" s="3" t="inlineStr">
        <is>
          <t>MỤC TIÊU</t>
        </is>
      </c>
      <c r="C4" s="4" t="inlineStr">
        <is>
          <t>Xây dựng bản đồ chiến lược toàn diện cho 2 nhóm hàng chủ lực: Trái cây và Thủy sản, định hướng thâm nhập &amp; nâng cấp giá trị tại 8 thị trường trọng điểm giai đoạn 2026–2030.</t>
        </is>
      </c>
    </row>
    <row r="5" ht="20" customHeight="1">
      <c r="B5" s="3" t="inlineStr">
        <is>
          <t>PHẠM VI TRÁI CÂY</t>
        </is>
      </c>
      <c r="C5" s="4" t="inlineStr">
        <is>
          <t>Sầu riêng (tươi + đông lạnh), Chuối, Xoài, Thanh long, Dừa, Chanh dây.</t>
        </is>
      </c>
    </row>
    <row r="6" ht="20" customHeight="1">
      <c r="B6" s="3" t="inlineStr">
        <is>
          <t>PHẠM VI THỦY SẢN</t>
        </is>
      </c>
      <c r="C6" s="4" t="inlineStr">
        <is>
          <t>Tôm (thẻ chân trắng, sú), Cá tra (pangasius), Mực, Bạch tuộc, Cá ngừ.</t>
        </is>
      </c>
    </row>
    <row r="7" ht="30" customHeight="1">
      <c r="B7" s="3" t="inlineStr">
        <is>
          <t>8 THỊ TRƯỜNG</t>
        </is>
      </c>
      <c r="C7" s="4" t="inlineStr">
        <is>
          <t>Trung Quốc · EU · Nhật Bản · Hàn Quốc · Hoa Kỳ · Ấn Độ · CPTPP khác (Úc/Canada/Singapore/NZ) · Trung Đông (UAE/Saudi).</t>
        </is>
      </c>
    </row>
    <row r="8" ht="20" customHeight="1">
      <c r="B8" s="3" t="inlineStr">
        <is>
          <t>FTA THEN CHỐT</t>
        </is>
      </c>
      <c r="C8" s="4" t="inlineStr">
        <is>
          <t>EVFTA · CPTPP · RCEP · UKVFTA · ACFTA (ASEAN–Trung Quốc) · VKFTA · AJCEP/VJEPA · AIFTA.</t>
        </is>
      </c>
    </row>
    <row r="9" ht="8" customHeight="1"/>
    <row r="10" ht="120" customHeight="1">
      <c r="B10" s="3" t="inlineStr">
        <is>
          <t>CẤU TRÚC FILE</t>
        </is>
      </c>
      <c r="C10" s="4" t="inlineStr">
        <is>
          <t>Sheet 1 – Product Mapping Trái cây
Sheet 2 – Product Mapping Thủy sản
Sheet 3 – Lợi thế từng nhóm hàng (khung 7 chiều)
Sheet 4 – Bản đồ 8 thị trường quốc gia
Sheet 5 – Ma trận ưu tiên chiến lược (chấm điểm)
Sheet 6 – Lộ trình chiến lược 2026–2030</t>
        </is>
      </c>
    </row>
    <row r="11" ht="8" customHeight="1"/>
    <row r="12" ht="45" customHeight="1">
      <c r="B12" s="3" t="inlineStr">
        <is>
          <t>LƯU Ý DỮ LIỆU</t>
        </is>
      </c>
      <c r="C12" s="4" t="inlineStr">
        <is>
          <t>Số liệu mang tính định hướng chiến lược, tổng hợp từ VASEP, Bộ NN&amp;PTNT, Tổng cục Hải quan, ITC Trademap và xu hướng ngành đến 2026. Doanh nghiệp cần cập nhật lại kim ngạch/thuế suất thực tế theo mã HS 8–10 số và biểu thuế FTA tại thời điểm ký hợp đồng.</t>
        </is>
      </c>
    </row>
    <row r="13" ht="30" customHeight="1">
      <c r="B13" s="3" t="inlineStr">
        <is>
          <t>QUY ƯỚC MÀU</t>
        </is>
      </c>
      <c r="C13" s="4" t="inlineStr">
        <is>
          <t>🟢 Xanh lá = Trái cây   |   🟦 Xanh dương/teal = Thủy sản   |   🟡 Vàng = Nhấn mạnh cơ hội   |   🔴 Đỏ = Rủi ro/rào cản</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58" customWidth="1" min="3" max="3"/>
    <col width="16" customWidth="1" min="4" max="4"/>
  </cols>
  <sheetData>
    <row r="1" ht="34" customHeight="1">
      <c r="A1" s="1" t="inlineStr">
        <is>
          <t>MỤC LỤC — BỘ TÀI LIỆU CHIẾN LƯỢC XUẤT KHẨU 2026–2030</t>
        </is>
      </c>
    </row>
    <row r="2" ht="18" customHeight="1">
      <c r="A2" s="2" t="inlineStr">
        <is>
          <t>14 sheet — đọc theo thứ tự chiến lược → thực thi. Bắt đầu ở 'Cẩm nang thực thi' nếu muốn đi thẳng vào hành động.</t>
        </is>
      </c>
    </row>
    <row r="3" ht="24" customHeight="1">
      <c r="A3" s="22" t="inlineStr">
        <is>
          <t>#</t>
        </is>
      </c>
      <c r="B3" s="22" t="inlineStr">
        <is>
          <t>Sheet</t>
        </is>
      </c>
      <c r="C3" s="22" t="inlineStr">
        <is>
          <t>Nội dung / Trả lời câu hỏi</t>
        </is>
      </c>
      <c r="D3" s="22" t="inlineStr">
        <is>
          <t>Nhóm</t>
        </is>
      </c>
    </row>
    <row r="4" ht="30" customHeight="1">
      <c r="A4" s="77" t="inlineStr">
        <is>
          <t>0</t>
        </is>
      </c>
      <c r="B4" s="87" t="inlineStr">
        <is>
          <t>Tổng quan</t>
        </is>
      </c>
      <c r="C4" s="9" t="inlineStr">
        <is>
          <t>Mục tiêu, phạm vi, quy ước, nguồn dữ liệu</t>
        </is>
      </c>
      <c r="D4" s="64" t="inlineStr">
        <is>
          <t>Định hướng</t>
        </is>
      </c>
    </row>
    <row r="5" ht="30" customHeight="1">
      <c r="A5" s="80" t="inlineStr">
        <is>
          <t>1</t>
        </is>
      </c>
      <c r="B5" s="88" t="inlineStr">
        <is>
          <t>PM Trái cây</t>
        </is>
      </c>
      <c r="C5" s="11" t="inlineStr">
        <is>
          <t>Product mapping 6 nhóm trái cây (HS, dạng SP, đối thủ, lợi thế…)</t>
        </is>
      </c>
      <c r="D5" s="24" t="inlineStr">
        <is>
          <t>A. Mapping</t>
        </is>
      </c>
    </row>
    <row r="6" ht="30" customHeight="1">
      <c r="A6" s="77" t="inlineStr">
        <is>
          <t>2</t>
        </is>
      </c>
      <c r="B6" s="87" t="inlineStr">
        <is>
          <t>PM Thủy sản</t>
        </is>
      </c>
      <c r="C6" s="9" t="inlineStr">
        <is>
          <t>Product mapping 5 nhóm thủy sản</t>
        </is>
      </c>
      <c r="D6" s="24" t="inlineStr">
        <is>
          <t>A. Mapping</t>
        </is>
      </c>
    </row>
    <row r="7" ht="30" customHeight="1">
      <c r="A7" s="80" t="inlineStr">
        <is>
          <t>7</t>
        </is>
      </c>
      <c r="B7" s="88" t="inlineStr">
        <is>
          <t>Trái cây sấy</t>
        </is>
      </c>
      <c r="C7" s="11" t="inlineStr">
        <is>
          <t>Đào sâu nhóm value-added: sấy dẻo/VF/FD, lợi thế &amp; chiến lược</t>
        </is>
      </c>
      <c r="D7" s="24" t="inlineStr">
        <is>
          <t>A. Mapping</t>
        </is>
      </c>
    </row>
    <row r="8" ht="30" customHeight="1">
      <c r="A8" s="77" t="inlineStr">
        <is>
          <t>3</t>
        </is>
      </c>
      <c r="B8" s="87" t="inlineStr">
        <is>
          <t>Lợi thế nhóm hàng</t>
        </is>
      </c>
      <c r="C8" s="9" t="inlineStr">
        <is>
          <t>Khung 7 chiều × 11 nhóm (tự nhiên→FTA→điểm yếu)</t>
        </is>
      </c>
      <c r="D8" s="48" t="inlineStr">
        <is>
          <t>B. Lợi thế</t>
        </is>
      </c>
    </row>
    <row r="9" ht="30" customHeight="1">
      <c r="A9" s="80" t="inlineStr">
        <is>
          <t>9</t>
        </is>
      </c>
      <c r="B9" s="88" t="inlineStr">
        <is>
          <t>Kim ngạch &amp; Biểu đồ</t>
        </is>
      </c>
      <c r="C9" s="11" t="inlineStr">
        <is>
          <t>Số liệu &amp; 6 biểu đồ kim ngạch, cơ cấu thị trường, quỹ đạo</t>
        </is>
      </c>
      <c r="D9" s="36" t="inlineStr">
        <is>
          <t>Số liệu</t>
        </is>
      </c>
    </row>
    <row r="10" ht="30" customHeight="1">
      <c r="A10" s="77" t="inlineStr">
        <is>
          <t>4</t>
        </is>
      </c>
      <c r="B10" s="87" t="inlineStr">
        <is>
          <t>Bản đồ thị trường</t>
        </is>
      </c>
      <c r="C10" s="9" t="inlineStr">
        <is>
          <t>8 thị trường: quy mô, kênh, buyer, thuế, rào cản, chiến lược</t>
        </is>
      </c>
      <c r="D10" s="64" t="inlineStr">
        <is>
          <t>C. Thị trường</t>
        </is>
      </c>
    </row>
    <row r="11" ht="30" customHeight="1">
      <c r="A11" s="80" t="inlineStr">
        <is>
          <t>8</t>
        </is>
      </c>
      <c r="B11" s="88" t="inlineStr">
        <is>
          <t>EU &amp; Mỹ chuyên sâu</t>
        </is>
      </c>
      <c r="C11" s="11" t="inlineStr">
        <is>
          <t>So sánh sâu 2 thị trường cao cấp + hội chợ</t>
        </is>
      </c>
      <c r="D11" s="64" t="inlineStr">
        <is>
          <t>C. Thị trường</t>
        </is>
      </c>
    </row>
    <row r="12" ht="30" customHeight="1">
      <c r="A12" s="77" t="inlineStr">
        <is>
          <t>10</t>
        </is>
      </c>
      <c r="B12" s="87" t="inlineStr">
        <is>
          <t>Buyer EU &amp; Mỹ (sấy)</t>
        </is>
      </c>
      <c r="C12" s="9" t="inlineStr">
        <is>
          <t>Danh mục kênh &amp; đối tác tiêu biểu để tiếp cận</t>
        </is>
      </c>
      <c r="D12" s="57" t="inlineStr">
        <is>
          <t>D. Bán hàng</t>
        </is>
      </c>
    </row>
    <row r="13" ht="30" customHeight="1">
      <c r="A13" s="80" t="inlineStr">
        <is>
          <t>11</t>
        </is>
      </c>
      <c r="B13" s="88" t="inlineStr">
        <is>
          <t>Giá FOB &amp; chi phí (sấy)</t>
        </is>
      </c>
      <c r="C13" s="11" t="inlineStr">
        <is>
          <t>Bảng giá FOB tham khảo + cơ cấu chi phí + biểu đồ</t>
        </is>
      </c>
      <c r="D13" s="57" t="inlineStr">
        <is>
          <t>D. Bán hàng</t>
        </is>
      </c>
    </row>
    <row r="14" ht="30" customHeight="1">
      <c r="A14" s="77" t="inlineStr">
        <is>
          <t>5</t>
        </is>
      </c>
      <c r="B14" s="87" t="inlineStr">
        <is>
          <t>Ma trận ưu tiên</t>
        </is>
      </c>
      <c r="C14" s="9" t="inlineStr">
        <is>
          <t>20 cặp nhóm×thị trường → Tấn công/Duy trì/Đầu tư/Hạn chế</t>
        </is>
      </c>
      <c r="D14" s="89" t="inlineStr">
        <is>
          <t>E. Ưu tiên</t>
        </is>
      </c>
    </row>
    <row r="15" ht="30" customHeight="1">
      <c r="A15" s="80" t="inlineStr">
        <is>
          <t>6</t>
        </is>
      </c>
      <c r="B15" s="88" t="inlineStr">
        <is>
          <t>Lộ trình 2026-2030</t>
        </is>
      </c>
      <c r="C15" s="11" t="inlineStr">
        <is>
          <t>3 giai đoạn chiến lược theo năm &amp; KPI</t>
        </is>
      </c>
      <c r="D15" s="26" t="inlineStr">
        <is>
          <t>F. Lộ trình</t>
        </is>
      </c>
    </row>
    <row r="16" ht="30" customHeight="1">
      <c r="A16" s="77" t="inlineStr">
        <is>
          <t>12</t>
        </is>
      </c>
      <c r="B16" s="87" t="inlineStr">
        <is>
          <t>Checklist hồ sơ XK sấy</t>
        </is>
      </c>
      <c r="C16" s="9" t="inlineStr">
        <is>
          <t>30 mục tuân thủ EU (BRCGS/EUDR) &amp; Mỹ (FDA/FSVP)</t>
        </is>
      </c>
      <c r="D16" s="37" t="inlineStr">
        <is>
          <t>G. Tuân thủ</t>
        </is>
      </c>
    </row>
    <row r="17" ht="30" customHeight="1">
      <c r="A17" s="80" t="inlineStr">
        <is>
          <t>13</t>
        </is>
      </c>
      <c r="B17" s="46" t="inlineStr">
        <is>
          <t>Cẩm nang thực thi ★</t>
        </is>
      </c>
      <c r="C17" s="11" t="inlineStr">
        <is>
          <t>QUY TRÌNH 6 GIAI ĐOẠN / 18 BƯỚC — hành động step by step</t>
        </is>
      </c>
      <c r="D17" s="48" t="inlineStr">
        <is>
          <t>H. Thực thi</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26" customWidth="1" min="3" max="3"/>
    <col width="24" customWidth="1" min="4" max="4"/>
    <col width="22" customWidth="1" min="5" max="5"/>
    <col width="26" customWidth="1" min="6" max="6"/>
    <col width="30" customWidth="1" min="7" max="7"/>
    <col width="30" customWidth="1" min="8" max="8"/>
    <col width="26" customWidth="1" min="9" max="9"/>
  </cols>
  <sheetData>
    <row r="1" ht="34" customHeight="1">
      <c r="A1" s="5" t="inlineStr">
        <is>
          <t>A. PRODUCT MAPPING — NHÓM TRÁI CÂY</t>
        </is>
      </c>
    </row>
    <row r="2" ht="18" customHeight="1">
      <c r="A2" s="6" t="inlineStr">
        <is>
          <t>Mã HS · dạng sản phẩm · phân khúc · mùa vụ · đối thủ · lợi thế · rào cản · tăng trưởng</t>
        </is>
      </c>
    </row>
    <row r="3" ht="40" customHeight="1">
      <c r="A3" s="7" t="inlineStr">
        <is>
          <t>Nhóm hàng</t>
        </is>
      </c>
      <c r="B3" s="7" t="inlineStr">
        <is>
          <t>Mã HS chính</t>
        </is>
      </c>
      <c r="C3" s="7" t="inlineStr">
        <is>
          <t>Dạng sản phẩm</t>
        </is>
      </c>
      <c r="D3" s="7" t="inlineStr">
        <is>
          <t>Phân khúc thị trường</t>
        </is>
      </c>
      <c r="E3" s="7" t="inlineStr">
        <is>
          <t>Mùa vụ cung ứng VN</t>
        </is>
      </c>
      <c r="F3" s="7" t="inlineStr">
        <is>
          <t>Đối thủ cạnh tranh chính</t>
        </is>
      </c>
      <c r="G3" s="7" t="inlineStr">
        <is>
          <t>Lợi thế cốt lõi của VN</t>
        </is>
      </c>
      <c r="H3" s="7" t="inlineStr">
        <is>
          <t>Rào cản kỹ thuật &amp; thuế quan</t>
        </is>
      </c>
      <c r="I3" s="7" t="inlineStr">
        <is>
          <t>Tiềm năng tăng trưởng 2026–2030</t>
        </is>
      </c>
    </row>
    <row r="4" ht="118" customHeight="1">
      <c r="A4" s="8" t="inlineStr">
        <is>
          <t>Sầu riêng</t>
        </is>
      </c>
      <c r="B4" s="9" t="inlineStr">
        <is>
          <t>0810.60 (tươi)
0811.90 (đông lạnh)</t>
        </is>
      </c>
      <c r="C4" s="9" t="inlineStr">
        <is>
          <t>Tươi nguyên trái; Đông lạnh nguyên trái/múi (cấp đông IQF); Cơm sầu xay/paste; Sấy thăng hoa.</t>
        </is>
      </c>
      <c r="D4" s="9" t="inlineStr">
        <is>
          <t>Retail cao cấp; E-commerce (livestream TQ); HORECA (bánh, kem, đồ uống); Processing.</t>
        </is>
      </c>
      <c r="E4" s="9" t="inlineStr">
        <is>
          <t>Chính vụ T5–T10; trái vụ Tây Nguyên/miền Tây rải vụ gần như quanh năm.</t>
        </is>
      </c>
      <c r="F4" s="9" t="inlineStr">
        <is>
          <t>Thái Lan (Monthong, thương hiệu mạnh), Malaysia (Musang King cao cấp), Philippines (mới).</t>
        </is>
      </c>
      <c r="G4" s="9" t="inlineStr">
        <is>
          <t>Rải vụ quanh năm; cự ly gần TQ; giá cạnh tranh; cấp đông giữ được sầu riêng trái vụ; giống Ri6 &amp; Dona.</t>
        </is>
      </c>
      <c r="H4" s="9" t="inlineStr">
        <is>
          <t>TQ: mã vùng trồng + cơ sở đóng gói (GACC), kiểm dịch Cd/kim loại nặng, dư lượng. Rủi ro phụ thuộc 1 thị trường.</t>
        </is>
      </c>
      <c r="I4" s="9" t="inlineStr">
        <is>
          <t>RẤT CAO. Đông lạnh mở cửa TQ (2024) là động lực; mở rộng Ấn Độ, Trung Đông. Mục tiêu vượt 3–4 tỷ USD.</t>
        </is>
      </c>
    </row>
    <row r="5" ht="118" customHeight="1">
      <c r="A5" s="10" t="inlineStr">
        <is>
          <t>Chuối</t>
        </is>
      </c>
      <c r="B5" s="11" t="inlineStr">
        <is>
          <t>0803.90</t>
        </is>
      </c>
      <c r="C5" s="11" t="inlineStr">
        <is>
          <t>Tươi (Cavendish); chuối sấy dẻo/giòn; bột chuối xanh; chuối đông lạnh.</t>
        </is>
      </c>
      <c r="D5" s="11" t="inlineStr">
        <is>
          <t>Retail (siêu thị TQ/Nhật/Hàn); Processing; HORECA.</t>
        </is>
      </c>
      <c r="E5" s="11" t="inlineStr">
        <is>
          <t>Quanh năm, đỉnh T10–T4.</t>
        </is>
      </c>
      <c r="F5" s="11" t="inlineStr">
        <is>
          <t>Philippines (số 1 châu Á), Ecuador (toàn cầu), Campuchia (đang lên).</t>
        </is>
      </c>
      <c r="G5" s="11" t="inlineStr">
        <is>
          <t>Cự ly gần TQ/Nhật/Hàn; chi phí thấp; vùng trồng lớn (Đồng Nai, Tây Ninh, Lào Cai); thay thế Philippines khi có dịch Panama.</t>
        </is>
      </c>
      <c r="H5" s="11" t="inlineStr">
        <is>
          <t>Chuẩn dư lượng Nhật/Hàn khắt khe; cạnh tranh giá Philippines/Ecuador; logistics lạnh.</t>
        </is>
      </c>
      <c r="I5" s="11" t="inlineStr">
        <is>
          <t>CAO. Thay thị phần Philippines tại TQ/Nhật/Hàn; tăng chuối sấy value-added.</t>
        </is>
      </c>
    </row>
    <row r="6" ht="118" customHeight="1">
      <c r="A6" s="8" t="inlineStr">
        <is>
          <t>Xoài</t>
        </is>
      </c>
      <c r="B6" s="9" t="inlineStr">
        <is>
          <t>0804.50</t>
        </is>
      </c>
      <c r="C6" s="9" t="inlineStr">
        <is>
          <t>Tươi (Cát Chu, Cát Hòa Lộc, tượng da xanh); sấy dẻo; đông lạnh IQF; puree/nước ép.</t>
        </is>
      </c>
      <c r="D6" s="9" t="inlineStr">
        <is>
          <t>Retail; E-commerce; Processing (puree cho ngành đồ uống/kem).</t>
        </is>
      </c>
      <c r="E6" s="9" t="inlineStr">
        <is>
          <t>Chính vụ T3–T6; rải vụ nhờ xử lý ra hoa.</t>
        </is>
      </c>
      <c r="F6" s="9" t="inlineStr">
        <is>
          <t>Thái Lan, Ấn Độ, Mexico, Peru, Pakistan.</t>
        </is>
      </c>
      <c r="G6" s="9" t="inlineStr">
        <is>
          <t>Đa dạng giống; puree/đông lạnh cạnh tranh; đã mở cửa Mỹ/Úc/Nhật/Hàn/EU.</t>
        </is>
      </c>
      <c r="H6" s="9" t="inlineStr">
        <is>
          <t>Ruồi đục quả → chiếu xạ (Mỹ/Úc), xử lý hơi nước nóng (Nhật/Hàn); mã vùng trồng; cạnh tranh giá.</t>
        </is>
      </c>
      <c r="I6" s="9" t="inlineStr">
        <is>
          <t>CAO. Puree &amp; đông lạnh tăng mạnh; tươi cao cấp đi Nhật/Hàn/EU.</t>
        </is>
      </c>
    </row>
    <row r="7" ht="118" customHeight="1">
      <c r="A7" s="10" t="inlineStr">
        <is>
          <t>Thanh long</t>
        </is>
      </c>
      <c r="B7" s="11" t="inlineStr">
        <is>
          <t>0810.90</t>
        </is>
      </c>
      <c r="C7" s="11" t="inlineStr">
        <is>
          <t>Tươi (ruột trắng/đỏ); đông lạnh; sấy; nước ép; puree.</t>
        </is>
      </c>
      <c r="D7" s="11" t="inlineStr">
        <is>
          <t>Retail; Processing; E-commerce.</t>
        </is>
      </c>
      <c r="E7" s="11" t="inlineStr">
        <is>
          <t>Quanh năm nhờ chong đèn; đỉnh T5–T9.</t>
        </is>
      </c>
      <c r="F7" s="11" t="inlineStr">
        <is>
          <t>Không nhiều đối thủ trực tiếp; Trung Quốc tự trồng tăng nhanh (áp lực lớn nhất).</t>
        </is>
      </c>
      <c r="G7" s="11" t="inlineStr">
        <is>
          <t>Nước xuất khẩu thanh long số 1 thế giới; vùng trồng Bình Thuận/Long An/Tiền Giang; rải vụ.</t>
        </is>
      </c>
      <c r="H7" s="11" t="inlineStr">
        <is>
          <t>TQ tự chủ nguồn cung → giảm cầu nhập; dư lượng; cần chuyển hướng Ấn Độ/EU/Trung Đông và chế biến sâu.</t>
        </is>
      </c>
      <c r="I7" s="11" t="inlineStr">
        <is>
          <t>TRUNG BÌNH. Tươi vào TQ bão hòa; cơ hội ở đông lạnh/chế biến &amp; thị trường mới (Ấn Độ, EU).</t>
        </is>
      </c>
    </row>
    <row r="8" ht="118" customHeight="1">
      <c r="A8" s="8" t="inlineStr">
        <is>
          <t>Dừa</t>
        </is>
      </c>
      <c r="B8" s="9" t="inlineStr">
        <is>
          <t>0801.19 (dừa tươi)
2009.89 (nước dừa)
1513.11 (dầu dừa)</t>
        </is>
      </c>
      <c r="C8" s="9" t="inlineStr">
        <is>
          <t>Dừa tươi gọt kim cương; nước dừa đóng lon/hộp; cơm dừa nạo sấy; sữa dừa; dầu dừa; than gáo dừa.</t>
        </is>
      </c>
      <c r="D8" s="9" t="inlineStr">
        <is>
          <t>Retail; HORECA; Processing; E-commerce (nước dừa xu hướng healthy).</t>
        </is>
      </c>
      <c r="E8" s="9" t="inlineStr">
        <is>
          <t>Quanh năm (Bến Tre, Trà Vinh).</t>
        </is>
      </c>
      <c r="F8" s="9" t="inlineStr">
        <is>
          <t>Thái Lan, Indonesia, Philippines, Sri Lanka.</t>
        </is>
      </c>
      <c r="G8" s="9" t="inlineStr">
        <is>
          <t>Vùng nguyên liệu Bến Tre lớn; chuỗi chế biến sâu đa dạng; mới mở cửa dừa tươi Mỹ (2023) &amp; TQ (2024).</t>
        </is>
      </c>
      <c r="H8" s="9" t="inlineStr">
        <is>
          <t>Cạnh tranh Thái Lan (nước dừa thương hiệu); tiêu chuẩn hữu cơ; logistics.</t>
        </is>
      </c>
      <c r="I8" s="9" t="inlineStr">
        <is>
          <t>RẤT CAO. Nước dừa &amp; sản phẩm dừa value-added bùng nổ toàn cầu; mục tiêu &gt;1 tỷ USD.</t>
        </is>
      </c>
    </row>
    <row r="9" ht="118" customHeight="1">
      <c r="A9" s="10" t="inlineStr">
        <is>
          <t>Chanh dây</t>
        </is>
      </c>
      <c r="B9" s="11" t="inlineStr">
        <is>
          <t>0810.90 (tươi)
2009.89 (dịch/puree)</t>
        </is>
      </c>
      <c r="C9" s="11" t="inlineStr">
        <is>
          <t>Tươi; puree/juice concentrate đông lạnh; frozen IQF.</t>
        </is>
      </c>
      <c r="D9" s="11" t="inlineStr">
        <is>
          <t>Processing (chủ đạo – juice concentrate cho EU); Retail.</t>
        </is>
      </c>
      <c r="E9" s="11" t="inlineStr">
        <is>
          <t>Quanh năm, đỉnh Tây Nguyên T6–T11.</t>
        </is>
      </c>
      <c r="F9" s="11" t="inlineStr">
        <is>
          <t>Peru, Ecuador, Colombia (Nam Mỹ thống trị juice), Brazil.</t>
        </is>
      </c>
      <c r="G9" s="11" t="inlineStr">
        <is>
          <t>Vùng Tây Nguyên mở rộng nhanh; puree cạnh tranh; mới mở cửa tươi vào TQ (2024), Úc, Mỹ.</t>
        </is>
      </c>
      <c r="H9" s="11" t="inlineStr">
        <is>
          <t>Chuẩn juice EU khắt khe; cạnh tranh Nam Mỹ về giá concentrate; giống &amp; chất lượng đồng đều.</t>
        </is>
      </c>
      <c r="I9" s="11" t="inlineStr">
        <is>
          <t>CAO. Juice concentrate &amp; tươi cao cấp; hưởng lợi EVFTA vào EU.</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26" customWidth="1" min="3" max="3"/>
    <col width="24" customWidth="1" min="4" max="4"/>
    <col width="22" customWidth="1" min="5" max="5"/>
    <col width="26" customWidth="1" min="6" max="6"/>
    <col width="30" customWidth="1" min="7" max="7"/>
    <col width="30" customWidth="1" min="8" max="8"/>
    <col width="26" customWidth="1" min="9" max="9"/>
  </cols>
  <sheetData>
    <row r="1" ht="34" customHeight="1">
      <c r="A1" s="12" t="inlineStr">
        <is>
          <t>A. PRODUCT MAPPING — NHÓM THỦY SẢN</t>
        </is>
      </c>
    </row>
    <row r="2" ht="18" customHeight="1">
      <c r="A2" s="13" t="inlineStr">
        <is>
          <t>Mã HS · dạng sản phẩm · phân khúc · mùa vụ · đối thủ · lợi thế · rào cản · tăng trưởng</t>
        </is>
      </c>
    </row>
    <row r="3" ht="40" customHeight="1">
      <c r="A3" s="14" t="inlineStr">
        <is>
          <t>Nhóm hàng</t>
        </is>
      </c>
      <c r="B3" s="14" t="inlineStr">
        <is>
          <t>Mã HS chính</t>
        </is>
      </c>
      <c r="C3" s="14" t="inlineStr">
        <is>
          <t>Dạng sản phẩm</t>
        </is>
      </c>
      <c r="D3" s="14" t="inlineStr">
        <is>
          <t>Phân khúc thị trường</t>
        </is>
      </c>
      <c r="E3" s="14" t="inlineStr">
        <is>
          <t>Mùa vụ cung ứng VN</t>
        </is>
      </c>
      <c r="F3" s="14" t="inlineStr">
        <is>
          <t>Đối thủ cạnh tranh chính</t>
        </is>
      </c>
      <c r="G3" s="14" t="inlineStr">
        <is>
          <t>Lợi thế cốt lõi của VN</t>
        </is>
      </c>
      <c r="H3" s="14" t="inlineStr">
        <is>
          <t>Rào cản kỹ thuật &amp; thuế quan</t>
        </is>
      </c>
      <c r="I3" s="14" t="inlineStr">
        <is>
          <t>Tiềm năng tăng trưởng 2026–2030</t>
        </is>
      </c>
    </row>
    <row r="4" ht="118" customHeight="1">
      <c r="A4" s="15" t="inlineStr">
        <is>
          <t>Tôm thẻ / sú</t>
        </is>
      </c>
      <c r="B4" s="9" t="inlineStr">
        <is>
          <t>0306.17 (đông lạnh)
1605.21/29 (chế biến)</t>
        </is>
      </c>
      <c r="C4" s="9" t="inlineStr">
        <is>
          <t>HLSO, PD/PUD, Nobashi, Sushi ebi, tôm tẩm bột, hấp chín, tôm hùm nước lợ.</t>
        </is>
      </c>
      <c r="D4" s="9" t="inlineStr">
        <is>
          <t>Retail; HORECA; Processing; Food service.</t>
        </is>
      </c>
      <c r="E4" s="9" t="inlineStr">
        <is>
          <t>Quanh năm (ĐBSCL), vụ chính T4–T9.</t>
        </is>
      </c>
      <c r="F4" s="9" t="inlineStr">
        <is>
          <t>Ecuador (giá rẻ, sản lượng lớn), Ấn Độ, Indonesia, Thái Lan.</t>
        </is>
      </c>
      <c r="G4" s="9" t="inlineStr">
        <is>
          <t>Trình độ chế biến sâu (value-added) hàng đầu thế giới; đạt chuẩn ASC/BAP; đa dạng sản phẩm ăn liền.</t>
        </is>
      </c>
      <c r="H4" s="9" t="inlineStr">
        <is>
          <t>Thuế CBPG tại Mỹ; kháng sinh (Nhật/EU kiểm 100% lô); cạnh tranh giá Ecuador/Ấn Độ; chi phí nuôi cao.</t>
        </is>
      </c>
      <c r="I4" s="9" t="inlineStr">
        <is>
          <t>CAO ở phân khúc chế biến sâu. Giữ Nhật/EU/Hàn; nâng value-added để né cuộc đua giá.</t>
        </is>
      </c>
    </row>
    <row r="5" ht="118" customHeight="1">
      <c r="A5" s="16" t="inlineStr">
        <is>
          <t>Cá tra (Pangasius)</t>
        </is>
      </c>
      <c r="B5" s="11" t="inlineStr">
        <is>
          <t>0304.62 (fillet đông lạnh)
0304.32</t>
        </is>
      </c>
      <c r="C5" s="11" t="inlineStr">
        <is>
          <t>Fillet đông lạnh; cắt portion; tẩm bột; cá nguyên con; collagen/gelatin, dầu cá (phụ phẩm).</t>
        </is>
      </c>
      <c r="D5" s="11" t="inlineStr">
        <is>
          <t>Retail (private label); Food service; Processing.</t>
        </is>
      </c>
      <c r="E5" s="11" t="inlineStr">
        <is>
          <t>Quanh năm (ĐBSCL – An Giang, Đồng Tháp).</t>
        </is>
      </c>
      <c r="F5" s="11" t="inlineStr">
        <is>
          <t>Gần như độc quyền toàn cầu; cạnh tranh gián tiếp cá thịt trắng (cod, pollock, tilapia TQ).</t>
        </is>
      </c>
      <c r="G5" s="11" t="inlineStr">
        <is>
          <t>Gần như độc quyền nguồn cung cá tra; giá rất cạnh tranh; chuỗi khép kín; tận dụng phụ phẩm.</t>
        </is>
      </c>
      <c r="H5" s="11" t="inlineStr">
        <is>
          <t>Truyền thông tiêu cực EU; thuế CBPG Mỹ (POR); chuẩn ASC; cạnh tranh cá thịt trắng khác.</t>
        </is>
      </c>
      <c r="I5" s="11" t="inlineStr">
        <is>
          <t>TRUNG BÌNH–CAO. Phục hồi TQ/Mỹ; mở Trung Đông/Nam Mỹ/ASEAN; tăng portion value-added &amp; collagen.</t>
        </is>
      </c>
    </row>
    <row r="6" ht="118" customHeight="1">
      <c r="A6" s="15" t="inlineStr">
        <is>
          <t>Mực</t>
        </is>
      </c>
      <c r="B6" s="9" t="inlineStr">
        <is>
          <t>0307.43 (đông lạnh)
1605.54 (chế biến)</t>
        </is>
      </c>
      <c r="C6" s="9" t="inlineStr">
        <is>
          <t>Mực ống/nang làm sạch; sushi; mực nướng; mực chế biến ăn liền; mực khô.</t>
        </is>
      </c>
      <c r="D6" s="9" t="inlineStr">
        <is>
          <t>HORECA; Retail; Processing.</t>
        </is>
      </c>
      <c r="E6" s="9" t="inlineStr">
        <is>
          <t>Vụ chính T1–T4 &amp; T7–T9 (khai thác biển).</t>
        </is>
      </c>
      <c r="F6" s="9" t="inlineStr">
        <is>
          <t>Trung Quốc, Ấn Độ, Indonesia, Peru (mực khổng lồ).</t>
        </is>
      </c>
      <c r="G6" s="9" t="inlineStr">
        <is>
          <t>Chế biến tinh; sản phẩm ăn liền; gần thị trường Nhật/Hàn.</t>
        </is>
      </c>
      <c r="H6" s="9" t="inlineStr">
        <is>
          <t>Thẻ vàng IUU của EU (rủi ro lớn nhất); nguồn lợi khai thác biến động; truy xuất nguồn gốc.</t>
        </is>
      </c>
      <c r="I6" s="9" t="inlineStr">
        <is>
          <t>TRUNG BÌNH. Phụ thuộc gỡ thẻ vàng IUU; cơ hội chế biến ăn liền cho Nhật/Hàn.</t>
        </is>
      </c>
    </row>
    <row r="7" ht="118" customHeight="1">
      <c r="A7" s="16" t="inlineStr">
        <is>
          <t>Bạch tuộc</t>
        </is>
      </c>
      <c r="B7" s="11" t="inlineStr">
        <is>
          <t>0307.52 (đông lạnh)
1605.55</t>
        </is>
      </c>
      <c r="C7" s="11" t="inlineStr">
        <is>
          <t>Bạch tuộc nguyên con làm sạch; cắt; luộc; sushi/sashimi; ăn liền.</t>
        </is>
      </c>
      <c r="D7" s="11" t="inlineStr">
        <is>
          <t>HORECA; Retail (Nhật/Hàn); Processing.</t>
        </is>
      </c>
      <c r="E7" s="11" t="inlineStr">
        <is>
          <t>Vụ chính T1–T4 &amp; T7–T9.</t>
        </is>
      </c>
      <c r="F7" s="11" t="inlineStr">
        <is>
          <t>Morocco, Mauritania (số 1 thế giới), Ấn Độ, Indonesia, Trung Quốc.</t>
        </is>
      </c>
      <c r="G7" s="11" t="inlineStr">
        <is>
          <t>Chất lượng chế biến; thị trường Hàn Quốc rất chuộng; gần Nhật/Hàn.</t>
        </is>
      </c>
      <c r="H7" s="11" t="inlineStr">
        <is>
          <t>Thẻ vàng IUU EU; cạnh tranh Morocco/Mauritania (giá &amp; sản lượng); nguồn lợi hạn chế.</t>
        </is>
      </c>
      <c r="I7" s="11" t="inlineStr">
        <is>
          <t>TRUNG BÌNH. Tập trung Hàn Quốc/Nhật; phụ thuộc IUU &amp; nguồn lợi tự nhiên.</t>
        </is>
      </c>
    </row>
    <row r="8" ht="118" customHeight="1">
      <c r="A8" s="15" t="inlineStr">
        <is>
          <t>Cá ngừ</t>
        </is>
      </c>
      <c r="B8" s="9" t="inlineStr">
        <is>
          <t>1604.14 (đóng hộp)
0304.87 (loin/fillet)
0302/0303 (tươi/đông)</t>
        </is>
      </c>
      <c r="C8" s="9" t="inlineStr">
        <is>
          <t>Loin/steak đông lạnh; đóng hộp; sashimi tươi (mắt to/vây vàng); túi (pouch).</t>
        </is>
      </c>
      <c r="D8" s="9" t="inlineStr">
        <is>
          <t>Retail (đồ hộp EU/Mỹ); HORECA (sashimi Nhật); Processing.</t>
        </is>
      </c>
      <c r="E8" s="9" t="inlineStr">
        <is>
          <t>Quanh năm (khai thác đại dương).</t>
        </is>
      </c>
      <c r="F8" s="9" t="inlineStr">
        <is>
          <t>Thái Lan (đồ hộp số 1), Ecuador, Philippines, Indonesia, Tây Ban Nha.</t>
        </is>
      </c>
      <c r="G8" s="9" t="inlineStr">
        <is>
          <t>Đã là top xuất khẩu cá ngừ; hưởng EVFTA (hạn ngạch đồ hộp) &amp; CPTPP; chế biến đa dạng.</t>
        </is>
      </c>
      <c r="H8" s="9" t="inlineStr">
        <is>
          <t>Thẻ vàng IUU EU; quy tắc xuất xứ nguyên liệu (hạn ngạch EVFTA); phụ thuộc nguyên liệu nhập; thuế Mỹ.</t>
        </is>
      </c>
      <c r="I8" s="9" t="inlineStr">
        <is>
          <t>CAO. EVFTA/CPTPP là đòn bẩy đồ hộp &amp; loin; mở Trung Đông; cần chủ động nguyên liệu.</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24" customWidth="1" min="4" max="4"/>
    <col width="24" customWidth="1" min="5" max="5"/>
    <col width="26" customWidth="1" min="6" max="6"/>
    <col width="26" customWidth="1" min="7" max="7"/>
    <col width="30" customWidth="1" min="8" max="8"/>
  </cols>
  <sheetData>
    <row r="1" ht="34" customHeight="1">
      <c r="A1" s="17" t="inlineStr">
        <is>
          <t>B. LỢI THẾ TỪNG NHÓM HÀNG — KHUNG 7 CHIỀU</t>
        </is>
      </c>
    </row>
    <row r="2" ht="18" customHeight="1">
      <c r="A2" s="18" t="inlineStr">
        <is>
          <t>Tự nhiên · chi phí · chứng nhận · logistics · FTA · chế biến sâu · điểm yếu</t>
        </is>
      </c>
    </row>
    <row r="3" ht="44" customHeight="1">
      <c r="A3" s="19" t="inlineStr">
        <is>
          <t>Nhóm hàng</t>
        </is>
      </c>
      <c r="B3" s="19" t="inlineStr">
        <is>
          <t>Lợi thế tự nhiên (khí hậu/giống/vùng NL)</t>
        </is>
      </c>
      <c r="C3" s="19" t="inlineStr">
        <is>
          <t>Lợi thế chi phí</t>
        </is>
      </c>
      <c r="D3" s="19" t="inlineStr">
        <is>
          <t>Lợi thế chứng nhận &amp; truy xuất</t>
        </is>
      </c>
      <c r="E3" s="19" t="inlineStr">
        <is>
          <t>Lợi thế logistics &amp; vị trí</t>
        </is>
      </c>
      <c r="F3" s="19" t="inlineStr">
        <is>
          <t>Lợi thế FTA</t>
        </is>
      </c>
      <c r="G3" s="19" t="inlineStr">
        <is>
          <t>Lợi thế chế biến sâu / value-added</t>
        </is>
      </c>
      <c r="H3" s="19" t="inlineStr">
        <is>
          <t>Điểm yếu cần khắc phục</t>
        </is>
      </c>
    </row>
    <row r="4" ht="96" customHeight="1">
      <c r="A4" s="8" t="inlineStr">
        <is>
          <t>Sầu riêng</t>
        </is>
      </c>
      <c r="B4" s="9" t="inlineStr">
        <is>
          <t>Khí hậu nhiệt đới rải vụ quanh năm (Tây Nguyên, ĐBSCL, ĐNB); giống Ri6, Dona năng suất.</t>
        </is>
      </c>
      <c r="C4" s="9" t="inlineStr">
        <is>
          <t>Chi phí lao động &amp; vận chuyển sang TQ thấp hơn Thái/Malaysia.</t>
        </is>
      </c>
      <c r="D4" s="9" t="inlineStr">
        <is>
          <t>Mã số vùng trồng GACC; đang mở rộng GlobalGAP; truy xuất QR.</t>
        </is>
      </c>
      <c r="E4" s="9" t="inlineStr">
        <is>
          <t>Đường bộ/đường sắt sang TQ ngắn nhất; thời gian giao 1.5–3 ngày.</t>
        </is>
      </c>
      <c r="F4" s="9" t="inlineStr">
        <is>
          <t>ACFTA &amp; RCEP: thuế 0% vào TQ; cửa khẩu thông quan ưu tiên.</t>
        </is>
      </c>
      <c r="G4" s="9" t="inlineStr">
        <is>
          <t>Cấp đông IQF nguyên trái/múi; paste; sấy thăng hoa mở cửa TQ 2024.</t>
        </is>
      </c>
      <c r="H4" s="20" t="inlineStr">
        <is>
          <t>Phụ thuộc ~90% vào TQ; kiểm soát Cd/kim loại nặng; chất lượng chưa đồng đều; cần chuẩn hóa vùng trồng.</t>
        </is>
      </c>
    </row>
    <row r="5" ht="96" customHeight="1">
      <c r="A5" s="10" t="inlineStr">
        <is>
          <t>Chuối</t>
        </is>
      </c>
      <c r="B5" s="11" t="inlineStr">
        <is>
          <t>Vùng trồng lớn thâm canh (Đồng Nai, Tây Ninh, Lào Cai); Cavendish năng suất cao.</t>
        </is>
      </c>
      <c r="C5" s="11" t="inlineStr">
        <is>
          <t>Chi phí sản xuất thấp; gần TQ/Nhật/Hàn giảm cước lạnh.</t>
        </is>
      </c>
      <c r="D5" s="11" t="inlineStr">
        <is>
          <t>GlobalGAP; mã vùng trồng TQ; đang tăng chứng nhận Nhật/Hàn.</t>
        </is>
      </c>
      <c r="E5" s="11" t="inlineStr">
        <is>
          <t>Cự ly ngắn sang Bắc Á; container lạnh 3–7 ngày.</t>
        </is>
      </c>
      <c r="F5" s="11" t="inlineStr">
        <is>
          <t>RCEP/ACFTA/VKFTA/VJEPA: thuế thấp/0% vào TQ, Hàn, Nhật.</t>
        </is>
      </c>
      <c r="G5" s="11" t="inlineStr">
        <is>
          <t>Chuối sấy dẻo/giòn, bột chuối xanh (dinh dưỡng).</t>
        </is>
      </c>
      <c r="H5" s="21" t="inlineStr">
        <is>
          <t>Dịch Panama TR4; đồng đều chất lượng; phụ thuộc thị trường TQ; cạnh tranh giá Philippines/Ecuador.</t>
        </is>
      </c>
    </row>
    <row r="6" ht="96" customHeight="1">
      <c r="A6" s="8" t="inlineStr">
        <is>
          <t>Xoài</t>
        </is>
      </c>
      <c r="B6" s="9" t="inlineStr">
        <is>
          <t>Đa dạng giống đặc sản (Cát Hòa Lộc, Cát Chu); xử lý ra hoa rải vụ.</t>
        </is>
      </c>
      <c r="C6" s="9" t="inlineStr">
        <is>
          <t>Nguyên liệu puree giá tốt; nhân công chế biến rẻ.</t>
        </is>
      </c>
      <c r="D6" s="9" t="inlineStr">
        <is>
          <t>Mã vùng trồng; nhà máy chiếu xạ/xử lý hơi nước đạt chuẩn Mỹ/Nhật/Hàn.</t>
        </is>
      </c>
      <c r="E6" s="9" t="inlineStr">
        <is>
          <t>Gần Bắc Á; puree/đông lạnh vận chuyển linh hoạt.</t>
        </is>
      </c>
      <c r="F6" s="9" t="inlineStr">
        <is>
          <t>CPTPP/EVFTA/VJEPA/VKFTA: ưu đãi thuế nhiều thị trường.</t>
        </is>
      </c>
      <c r="G6" s="9" t="inlineStr">
        <is>
          <t>Puree, IQF, sấy dẻo, nước ép – chuỗi value-added mạnh.</t>
        </is>
      </c>
      <c r="H6" s="20" t="inlineStr">
        <is>
          <t>Ruồi đục quả (chi phí xử lý); chất lượng tươi chưa đồng đều; thương hiệu yếu.</t>
        </is>
      </c>
    </row>
    <row r="7" ht="96" customHeight="1">
      <c r="A7" s="10" t="inlineStr">
        <is>
          <t>Thanh long</t>
        </is>
      </c>
      <c r="B7" s="11" t="inlineStr">
        <is>
          <t>Nước XK số 1 thế giới; chong đèn rải vụ; Bình Thuận/Long An/Tiền Giang.</t>
        </is>
      </c>
      <c r="C7" s="11" t="inlineStr">
        <is>
          <t>Chi phí sản xuất cạnh tranh (dù điện chong đèn tăng).</t>
        </is>
      </c>
      <c r="D7" s="11" t="inlineStr">
        <is>
          <t>GlobalGAP, VietGAP; mã vùng trồng TQ.</t>
        </is>
      </c>
      <c r="E7" s="11" t="inlineStr">
        <is>
          <t>Gần TQ; nhưng dễ hư hỏng cần lạnh nhanh.</t>
        </is>
      </c>
      <c r="F7" s="11" t="inlineStr">
        <is>
          <t>ACFTA/RCEP/EVFTA: 0% nhiều nơi.</t>
        </is>
      </c>
      <c r="G7" s="11" t="inlineStr">
        <is>
          <t>Đông lạnh, nước ép, puree, sấy (còn sơ khai).</t>
        </is>
      </c>
      <c r="H7" s="21" t="inlineStr">
        <is>
          <t>TQ tự trồng cạnh tranh trực tiếp → rớt giá; phụ thuộc TQ; chế biến sâu còn yếu; cần đa dạng thị trường.</t>
        </is>
      </c>
    </row>
    <row r="8" ht="96" customHeight="1">
      <c r="A8" s="8" t="inlineStr">
        <is>
          <t>Dừa</t>
        </is>
      </c>
      <c r="B8" s="9" t="inlineStr">
        <is>
          <t>Bến Tre/Trà Vinh vùng nguyên liệu tập trung lớn; dừa xiêm ngọt.</t>
        </is>
      </c>
      <c r="C8" s="9" t="inlineStr">
        <is>
          <t>Chuỗi chế biến tích hợp giảm giá thành; tận dụng toàn bộ trái.</t>
        </is>
      </c>
      <c r="D8" s="9" t="inlineStr">
        <is>
          <t>Hữu cơ (organic) EU/US; FSSC 22000; mã vùng trồng.</t>
        </is>
      </c>
      <c r="E8" s="9" t="inlineStr">
        <is>
          <t>Cảng ĐBSCL &amp; TP.HCM; sản phẩm chế biến bảo quản lâu.</t>
        </is>
      </c>
      <c r="F8" s="9" t="inlineStr">
        <is>
          <t>EVFTA/CPTPP/RCEP: nước dừa &amp; sản phẩm dừa ưu đãi.</t>
        </is>
      </c>
      <c r="G8" s="9" t="inlineStr">
        <is>
          <t>Nước dừa đóng lon, sữa dừa, cơm dừa sấy, dầu dừa, mỹ phẩm – rất mạnh.</t>
        </is>
      </c>
      <c r="H8" s="20" t="inlineStr">
        <is>
          <t>Cạnh tranh thương hiệu Thái; giá nguyên liệu biến động; cần đầu tư R&amp;D &amp; thương hiệu.</t>
        </is>
      </c>
    </row>
    <row r="9" ht="96" customHeight="1">
      <c r="A9" s="10" t="inlineStr">
        <is>
          <t>Chanh dây</t>
        </is>
      </c>
      <c r="B9" s="11" t="inlineStr">
        <is>
          <t>Tây Nguyên mở rộng nhanh; khí hậu phù hợp; giống tím/vàng.</t>
        </is>
      </c>
      <c r="C9" s="11" t="inlineStr">
        <is>
          <t>Nguyên liệu puree/juice giá cạnh tranh so với Nam Mỹ.</t>
        </is>
      </c>
      <c r="D9" s="11" t="inlineStr">
        <is>
          <t>GlobalGAP; chuẩn juice EU; mã vùng trồng TQ (2024).</t>
        </is>
      </c>
      <c r="E9" s="11" t="inlineStr">
        <is>
          <t>Vận chuyển puree đông lạnh linh hoạt đi EU.</t>
        </is>
      </c>
      <c r="F9" s="11" t="inlineStr">
        <is>
          <t>EVFTA (0% juice), RCEP, ACFTA.</t>
        </is>
      </c>
      <c r="G9" s="11" t="inlineStr">
        <is>
          <t>Juice concentrate, puree IQF – phục vụ ngành đồ uống EU.</t>
        </is>
      </c>
      <c r="H9" s="21" t="inlineStr">
        <is>
          <t>Chất lượng/giống chưa đồng đều; cạnh tranh Nam Mỹ; phụ thuộc thời tiết Tây Nguyên.</t>
        </is>
      </c>
    </row>
    <row r="10" ht="96" customHeight="1">
      <c r="A10" s="15" t="inlineStr">
        <is>
          <t>Tôm</t>
        </is>
      </c>
      <c r="B10" s="9" t="inlineStr">
        <is>
          <t>ĐBSCL diện tích nuôi lớn; tôm sú sinh thái (rừng ngập mặn) khác biệt.</t>
        </is>
      </c>
      <c r="C10" s="9" t="inlineStr">
        <is>
          <t>Chi phí nuôi cao hơn Ecuador/Ấn Độ (bất lợi giá nguyên liệu).</t>
        </is>
      </c>
      <c r="D10" s="9" t="inlineStr">
        <is>
          <t>ASC, BAP, GlobalGAP; tôm sú hữu cơ; truy xuất chuỗi.</t>
        </is>
      </c>
      <c r="E10" s="9" t="inlineStr">
        <is>
          <t>Nhiều nhà máy đạt chuẩn EU/Nhật; cảng gần vùng nuôi.</t>
        </is>
      </c>
      <c r="F10" s="9" t="inlineStr">
        <is>
          <t>CPTPP/EVFTA/UKVFTA/VKFTA: ưu đãi thuế lớn (đặc biệt vào EU, Nhật, Hàn, Canada).</t>
        </is>
      </c>
      <c r="G10" s="9" t="inlineStr">
        <is>
          <t>Value-added hàng đầu thế giới: Nobashi, sushi ebi, tẩm bột, hấp chín.</t>
        </is>
      </c>
      <c r="H10" s="20" t="inlineStr">
        <is>
          <t>Giá thành cao; thuế CBPG Mỹ; kháng sinh; dịch bệnh; phụ thuộc con giống nhập.</t>
        </is>
      </c>
    </row>
    <row r="11" ht="96" customHeight="1">
      <c r="A11" s="16" t="inlineStr">
        <is>
          <t>Cá tra</t>
        </is>
      </c>
      <c r="B11" s="11" t="inlineStr">
        <is>
          <t>Gần như độc quyền toàn cầu; ĐBSCL điều kiện lý tưởng; chuỗi khép kín.</t>
        </is>
      </c>
      <c r="C11" s="11" t="inlineStr">
        <is>
          <t>Giá cực cạnh tranh so với cá thịt trắng khác (cod, pollock).</t>
        </is>
      </c>
      <c r="D11" s="11" t="inlineStr">
        <is>
          <t>ASC; BAP; truy xuất; tiêu chuẩn nhà máy quốc tế.</t>
        </is>
      </c>
      <c r="E11" s="11" t="inlineStr">
        <is>
          <t>Chuỗi lạnh khép kín; công suất chế biến lớn.</t>
        </is>
      </c>
      <c r="F11" s="11" t="inlineStr">
        <is>
          <t>EVFTA/UKVFTA/CPTPP/RCEP: giảm thuế fillet nhiều thị trường.</t>
        </is>
      </c>
      <c r="G11" s="11" t="inlineStr">
        <is>
          <t>Portion, tẩm bột, collagen, gelatin, dầu cá từ phụ phẩm.</t>
        </is>
      </c>
      <c r="H11" s="21" t="inlineStr">
        <is>
          <t>Hình ảnh/truyền thông tiêu cực EU; thuế CBPG Mỹ; phụ thuộc giá &amp; thị trường; đa dạng SP còn hạn chế.</t>
        </is>
      </c>
    </row>
    <row r="12" ht="96" customHeight="1">
      <c r="A12" s="15" t="inlineStr">
        <is>
          <t>Mực &amp; Bạch tuộc</t>
        </is>
      </c>
      <c r="B12" s="9" t="inlineStr">
        <is>
          <t>Ngư trường biển; gần Nhật/Hàn – thị trường tiêu thụ lớn.</t>
        </is>
      </c>
      <c r="C12" s="9" t="inlineStr">
        <is>
          <t>Nhân công chế biến rẻ; sản phẩm tinh giá tốt.</t>
        </is>
      </c>
      <c r="D12" s="9" t="inlineStr">
        <is>
          <t>Chuẩn Nhật/Hàn/EU; truy xuất khai thác.</t>
        </is>
      </c>
      <c r="E12" s="9" t="inlineStr">
        <is>
          <t>Gần Bắc Á; chế biến ăn liền bảo quản tốt.</t>
        </is>
      </c>
      <c r="F12" s="9" t="inlineStr">
        <is>
          <t>VJEPA/VKFTA/RCEP ưu đãi Nhật, Hàn.</t>
        </is>
      </c>
      <c r="G12" s="9" t="inlineStr">
        <is>
          <t>Sushi, ăn liền, nướng – chế biến tinh.</t>
        </is>
      </c>
      <c r="H12" s="20" t="inlineStr">
        <is>
          <t>THẺ VÀNG IUU của EU (rào cản lớn nhất); nguồn lợi khai thác suy giảm &amp; biến động; truy xuất.</t>
        </is>
      </c>
    </row>
    <row r="13" ht="96" customHeight="1">
      <c r="A13" s="16" t="inlineStr">
        <is>
          <t>Cá ngừ</t>
        </is>
      </c>
      <c r="B13" s="11" t="inlineStr">
        <is>
          <t>Vùng biển miền Trung; đội tàu khai thác đại dương.</t>
        </is>
      </c>
      <c r="C13" s="11" t="inlineStr">
        <is>
          <t>Chi phí chế biến đồ hộp/loin cạnh tranh.</t>
        </is>
      </c>
      <c r="D13" s="11" t="inlineStr">
        <is>
          <t>Chuẩn đồ hộp EU/Mỹ; MSC (một phần); truy xuất.</t>
        </is>
      </c>
      <c r="E13" s="11" t="inlineStr">
        <is>
          <t>Cảng miền Trung; đồ hộp bảo quản dài.</t>
        </is>
      </c>
      <c r="F13" s="11" t="inlineStr">
        <is>
          <t>EVFTA (hạn ngạch đồ hộp 11.500 tấn/năm), CPTPP, UKVFTA.</t>
        </is>
      </c>
      <c r="G13" s="11" t="inlineStr">
        <is>
          <t>Đồ hộp, pouch, loin, sashimi – đa dạng.</t>
        </is>
      </c>
      <c r="H13" s="21" t="inlineStr">
        <is>
          <t>Thẻ vàng IUU; quy tắc xuất xứ nguyên liệu (hạn chế tận dụng FTA); phụ thuộc nguyên liệu nhập khẩu.</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6" customWidth="1" min="2" max="2"/>
    <col width="24" customWidth="1" min="3" max="3"/>
    <col width="24" customWidth="1" min="4" max="4"/>
    <col width="26" customWidth="1" min="5" max="5"/>
    <col width="22" customWidth="1" min="6" max="6"/>
    <col width="28" customWidth="1" min="7" max="7"/>
    <col width="28" customWidth="1" min="8" max="8"/>
    <col width="28" customWidth="1" min="9" max="9"/>
    <col width="10" customWidth="1" min="10" max="10"/>
  </cols>
  <sheetData>
    <row r="1" ht="34" customHeight="1">
      <c r="A1" s="1" t="inlineStr">
        <is>
          <t>C. BẢN ĐỒ CHIẾN LƯỢC THEO 8 THỊ TRƯỜNG</t>
        </is>
      </c>
    </row>
    <row r="2" ht="18" customHeight="1">
      <c r="A2" s="2" t="inlineStr">
        <is>
          <t>Quy mô · SP lợi thế · kênh · buyer · thuế FTA · rào cản · chiến lược ngắn/trung hạn · ưu tiên</t>
        </is>
      </c>
    </row>
    <row r="3" ht="44" customHeight="1">
      <c r="A3" s="22" t="inlineStr">
        <is>
          <t>Thị trường</t>
        </is>
      </c>
      <c r="B3" s="22" t="inlineStr">
        <is>
          <t>Quy mô &amp; tăng trưởng nhu cầu</t>
        </is>
      </c>
      <c r="C3" s="22" t="inlineStr">
        <is>
          <t>SP Việt Nam lợi thế nhất</t>
        </is>
      </c>
      <c r="D3" s="22" t="inlineStr">
        <is>
          <t>Kênh phân phối chủ đạo</t>
        </is>
      </c>
      <c r="E3" s="22" t="inlineStr">
        <is>
          <t>Buyer &amp; hành vi mua</t>
        </is>
      </c>
      <c r="F3" s="22" t="inlineStr">
        <is>
          <t>Thuế suất FTA hiện tại</t>
        </is>
      </c>
      <c r="G3" s="22" t="inlineStr">
        <is>
          <t>Rào cản kỹ thuật &amp; rủi ro</t>
        </is>
      </c>
      <c r="H3" s="22" t="inlineStr">
        <is>
          <t>Chiến lược 2026–2027 (ngắn hạn)</t>
        </is>
      </c>
      <c r="I3" s="22" t="inlineStr">
        <is>
          <t>Chiến lược 2028–2030 (trung hạn)</t>
        </is>
      </c>
      <c r="J3" s="22" t="inlineStr">
        <is>
          <t>Ưu tiên</t>
        </is>
      </c>
    </row>
    <row r="4" ht="150" customHeight="1">
      <c r="A4" s="23" t="inlineStr">
        <is>
          <t>TRUNG QUỐC</t>
        </is>
      </c>
      <c r="B4" s="9" t="inlineStr">
        <is>
          <t>Thị trường số 1 của cả trái cây &amp; thủy sản VN; nhu cầu khổng lồ, tăng ~8–10%/năm; tầng lớp trung lưu bùng nổ.</t>
        </is>
      </c>
      <c r="C4" s="9" t="inlineStr">
        <is>
          <t>Sầu riêng (tươi + đông lạnh), thanh long, chuối, mít, dừa; cá tra, tôm, cua ghẹ.</t>
        </is>
      </c>
      <c r="D4" s="9" t="inlineStr">
        <is>
          <t>Importer/đầu mối chợ Quảng Châu–Bằng Tường; siêu thị; E-commerce &amp; livestream (Douyin/Pinduoduo).</t>
        </is>
      </c>
      <c r="E4" s="9" t="inlineStr">
        <is>
          <t>Đầu mối lớn mua số lượng khủng; nhạy giá &amp; mùa vụ; ưa mã vùng trồng rõ ràng; thanh toán nhanh nhưng ép giá lúc rộ mùa.</t>
        </is>
      </c>
      <c r="F4" s="9" t="inlineStr">
        <is>
          <t>ACFTA &amp; RCEP: hầu hết 0%. Cần Nghị định thư &amp; mã GACC.</t>
        </is>
      </c>
      <c r="G4" s="20" t="inlineStr">
        <is>
          <t>Mã vùng trồng/cơ sở đóng gói (GACC); kiểm dịch chặt (Cd sầu riêng); phụ thuộc quá mức 1 thị trường; chính sách biên mậu thay đổi.</t>
        </is>
      </c>
      <c r="H4" s="9" t="inlineStr">
        <is>
          <t>Chuẩn hóa mã vùng trồng; ký thêm nghị định thư (dừa, chanh dây, đông lạnh); xây kho lạnh biên giới; livestream bán hàng.</t>
        </is>
      </c>
      <c r="I4" s="9" t="inlineStr">
        <is>
          <t>Chuyển từ tiểu ngạch → chính ngạch; thương hiệu vùng trồng; đông lạnh &amp; chế biến để giảm rủi ro mùa vụ; đa dạng cửa khẩu.</t>
        </is>
      </c>
      <c r="J4" s="24" t="inlineStr">
        <is>
          <t>CAO</t>
        </is>
      </c>
    </row>
    <row r="5" ht="150" customHeight="1">
      <c r="A5" s="25" t="inlineStr">
        <is>
          <t>EU (Đức, Hà Lan, Pháp, Bỉ, TBN)</t>
        </is>
      </c>
      <c r="B5" s="11" t="inlineStr">
        <is>
          <t>Thị trường cao cấp ~450tr dân; chuộng bền vững &amp; hữu cơ; tăng trưởng ổn định 3–5%; Hà Lan/Bỉ là cửa ngõ phân phối.</t>
        </is>
      </c>
      <c r="C5" s="11" t="inlineStr">
        <is>
          <t>Tôm value-added, cá ngừ đồ hộp, cá tra, chanh dây juice, dừa, xoài/puree, thanh long.</t>
        </is>
      </c>
      <c r="D5" s="11" t="inlineStr">
        <is>
          <t>Importer chuyên nghiệp; chuỗi siêu thị (Lidl, Aldi, Carrefour); phân phối qua Rotterdam/Antwerp.</t>
        </is>
      </c>
      <c r="E5" s="11" t="inlineStr">
        <is>
          <t>Buyer khắt khe về chứng nhận (ASC, GlobalGAP, hữu cơ, Rainforest); hợp đồng dài hạn; trả giá tốt cho chất lượng &amp; CSR.</t>
        </is>
      </c>
      <c r="F5" s="11" t="inlineStr">
        <is>
          <t>EVFTA: lộ trình về 0% (tôm nhiều dòng đã 0%; cá tra fillet giảm dần; đồ hộp cá ngừ theo hạn ngạch).</t>
        </is>
      </c>
      <c r="G5" s="21" t="inlineStr">
        <is>
          <t>Thẻ vàng IUU (hải sản khai thác); MRL dư lượng cực nghiêm; CBAM/EUDR &amp; truy xuất; kiểm 100% một số lô.</t>
        </is>
      </c>
      <c r="H5" s="11" t="inlineStr">
        <is>
          <t>Tận dụng EVFTA giảm thuế; đạt ASC/hữu cơ; vào Hà Lan/Đức trước; dự án gỡ thẻ vàng IUU.</t>
        </is>
      </c>
      <c r="I5" s="11" t="inlineStr">
        <is>
          <t>Xây thương hiệu bền vững; tuân thủ EUDR/CBAM; tăng value-added &amp; hữu cơ; hợp đồng chuỗi siêu thị dài hạn.</t>
        </is>
      </c>
      <c r="J5" s="24" t="inlineStr">
        <is>
          <t>CAO</t>
        </is>
      </c>
    </row>
    <row r="6" ht="150" customHeight="1">
      <c r="A6" s="23" t="inlineStr">
        <is>
          <t>NHẬT BẢN</t>
        </is>
      </c>
      <c r="B6" s="9" t="inlineStr">
        <is>
          <t>Thị trường cao cấp, ổn định, ~125tr dân; chi trả cao; chuộng chất lượng &amp; an toàn; tôm/mực/bạch tuộc/cá ngừ lớn.</t>
        </is>
      </c>
      <c r="C6" s="9" t="inlineStr">
        <is>
          <t>Tôm value-added (Nobashi, sushi ebi), mực, bạch tuộc, cá ngừ sashimi; chuối, xoài, thanh long.</t>
        </is>
      </c>
      <c r="D6" s="9" t="inlineStr">
        <is>
          <t>Sogo shosha (Sojitz, Marubeni) &amp; importer chuyên; siêu thị (AEON); chuỗi HORECA/sushi.</t>
        </is>
      </c>
      <c r="E6" s="9" t="inlineStr">
        <is>
          <t>Cực kỳ khắt khe chất lượng &amp; đúng hẹn; quan hệ dài hạn, trung thành; kiểm kháng sinh chặt; ưa OEM/private label.</t>
        </is>
      </c>
      <c r="F6" s="9" t="inlineStr">
        <is>
          <t>VJEPA/AJCEP &amp; CPTPP: nhiều dòng tôm/cá 0% hoặc ưu đãi cao.</t>
        </is>
      </c>
      <c r="G6" s="20" t="inlineStr">
        <is>
          <t>Kiểm kháng sinh 100% một số lô tôm; MRL nghiêm; xử lý hơi nước nóng (xoài); tiêu chuẩn cảm quan cao.</t>
        </is>
      </c>
      <c r="H6" s="9" t="inlineStr">
        <is>
          <t>Giữ vững chất lượng tôm chế biến; xử lý kiểm dịch trái cây; quan hệ sogo shosha; OEM cho retail.</t>
        </is>
      </c>
      <c r="I6" s="9" t="inlineStr">
        <is>
          <t>Nâng sản phẩm ăn liền cao cấp; co-branding; mở rộng trái cây tươi cao cấp (xoài, chuối, thanh long).</t>
        </is>
      </c>
      <c r="J6" s="24" t="inlineStr">
        <is>
          <t>CAO</t>
        </is>
      </c>
    </row>
    <row r="7" ht="150" customHeight="1">
      <c r="A7" s="25" t="inlineStr">
        <is>
          <t>HÀN QUỐC</t>
        </is>
      </c>
      <c r="B7" s="11" t="inlineStr">
        <is>
          <t>~52tr dân, tiêu thụ thủy sản/đầu người cao; chuộng bạch tuộc, mực, tôm; trái cây nhiệt đới tăng.</t>
        </is>
      </c>
      <c r="C7" s="11" t="inlineStr">
        <is>
          <t>Bạch tuộc, mực, tôm, cua; chuối, xoài, thanh long, dừa.</t>
        </is>
      </c>
      <c r="D7" s="11" t="inlineStr">
        <is>
          <t>Importer; đại siêu thị (E-mart, Lotte, Homeplus); TMĐT (Coupang); HORECA.</t>
        </is>
      </c>
      <c r="E7" s="11" t="inlineStr">
        <is>
          <t>Nhạy chất lượng &amp; giá; ưa hàng chế biến tiện lợi; kiểm dịch chặt; mùa lễ tết tiêu thụ mạnh.</t>
        </is>
      </c>
      <c r="F7" s="11" t="inlineStr">
        <is>
          <t>VKFTA &amp; RCEP: nhiều dòng ưu đãi mạnh (tôm hạn ngạch thuế ưu đãi; nông sản giảm dần).</t>
        </is>
      </c>
      <c r="G7" s="21" t="inlineStr">
        <is>
          <t>Kiểm dịch thực vật/kháng sinh chặt; hạn ngạch một số dòng; cạnh tranh với hàng TQ.</t>
        </is>
      </c>
      <c r="H7" s="11" t="inlineStr">
        <is>
          <t>Đẩy bạch tuộc/mực &amp; tôm chế biến; tận dụng VKFTA; lên sàn Coupang; kiểm soát dư lượng.</t>
        </is>
      </c>
      <c r="I7" s="11" t="inlineStr">
        <is>
          <t>Sản phẩm tiện lợi (HMR) ăn liền; thương hiệu trái cây nhiệt đới; mở rộng bán lẻ hiện đại.</t>
        </is>
      </c>
      <c r="J7" s="24" t="inlineStr">
        <is>
          <t>CAO</t>
        </is>
      </c>
    </row>
    <row r="8" ht="150" customHeight="1">
      <c r="A8" s="23" t="inlineStr">
        <is>
          <t>HOA KỲ</t>
        </is>
      </c>
      <c r="B8" s="9" t="inlineStr">
        <is>
          <t>Thị trường lớn &amp; chi trả cao; nhu cầu tôm/cá tra/cá ngừ lớn; trái cây nhiệt đới (dừa, xoài, thanh long) tăng.</t>
        </is>
      </c>
      <c r="C8" s="9" t="inlineStr">
        <is>
          <t>Tôm value-added, cá tra fillet, cá ngừ; dừa tươi/nước dừa, xoài chiếu xạ, thanh long, chôm chôm.</t>
        </is>
      </c>
      <c r="D8" s="9" t="inlineStr">
        <is>
          <t>Importer/distributor lớn; chuỗi siêu thị (Costco, Walmart, Whole Foods); food service; cộng đồng gốc Á.</t>
        </is>
      </c>
      <c r="E8" s="9" t="inlineStr">
        <is>
          <t>Mua khối lượng lớn, hợp đồng chặt; yêu cầu FDA/FSMA, BAP; nhạy thuế CBPG; ưa private label &amp; tiện lợi.</t>
        </is>
      </c>
      <c r="F8" s="9" t="inlineStr">
        <is>
          <t>Không có FTA song phương → thuế MFN + rủi ro thuế CBPG (tôm, cá tra) &amp; thuế đối ứng.</t>
        </is>
      </c>
      <c r="G8" s="20" t="inlineStr">
        <is>
          <t>Thuế chống bán phá giá (POR tôm &amp; cá tra); FDA/FSMA; chiếu xạ trái cây; chi phí logistics xa; rủi ro chính sách thuế.</t>
        </is>
      </c>
      <c r="H8" s="9" t="inlineStr">
        <is>
          <t>Giữ thị phần tôm/cá tra chế biến; đẩy dừa &amp; nước dừa (xu hướng healthy); tối ưu thuế CBPG; kho tại Mỹ.</t>
        </is>
      </c>
      <c r="I8" s="9" t="inlineStr">
        <is>
          <t>Đa dạng SP value-added né CBPG; thương hiệu nước dừa/trái cây; mở rộng trái cây chiếu xạ; phân phối tại chỗ.</t>
        </is>
      </c>
      <c r="J8" s="24" t="inlineStr">
        <is>
          <t>CAO</t>
        </is>
      </c>
    </row>
    <row r="9" ht="150" customHeight="1">
      <c r="A9" s="25" t="inlineStr">
        <is>
          <t>ẤN ĐỘ</t>
        </is>
      </c>
      <c r="B9" s="11" t="inlineStr">
        <is>
          <t>1,4 tỷ dân; trung lưu tăng nhanh; nhu cầu sầu riêng/thanh long/nông sản nhiệt đới &amp; thị trường mới nổi.</t>
        </is>
      </c>
      <c r="C9" s="11" t="inlineStr">
        <is>
          <t>Sầu riêng (mới), thanh long, chanh dây, hồ tiêu, gia vị; tiềm năng cá tra.</t>
        </is>
      </c>
      <c r="D9" s="11" t="inlineStr">
        <is>
          <t>Importer/wholesaler; chợ đầu mối; bán lẻ hiện đại &amp; TMĐT đang lên (BigBasket).</t>
        </is>
      </c>
      <c r="E9" s="11" t="inlineStr">
        <is>
          <t>Rất nhạy giá; ưa số lượng lớn giá thấp; quan hệ thương lượng nhiều; thanh toán cần thận trọng.</t>
        </is>
      </c>
      <c r="F9" s="11" t="inlineStr">
        <is>
          <t>AIFTA (ASEAN–Ấn Độ) &amp; APTA: một số dòng ưu đãi, nhưng Ấn Độ bảo hộ nông sản khá cao.</t>
        </is>
      </c>
      <c r="G9" s="21" t="inlineStr">
        <is>
          <t>Hàng rào thuế &amp; phi thuế cao; thủ tục phức tạp; cạnh tranh nội địa; rủi ro thanh toán; hạ tầng lạnh yếu.</t>
        </is>
      </c>
      <c r="H9" s="11" t="inlineStr">
        <is>
          <t>Thử nghiệm thanh long/sầu riêng qua importer uy tín; giá cạnh tranh; xây quan hệ; kiểm soát rủi ro thanh toán.</t>
        </is>
      </c>
      <c r="I9" s="11" t="inlineStr">
        <is>
          <t>Mở rộng khi trung lưu tăng; đàm phán giảm rào cản; thanh long/chanh dây thay thế nguồn khác; logistics.</t>
        </is>
      </c>
      <c r="J9" s="26" t="inlineStr">
        <is>
          <t>TRUNG BÌNH</t>
        </is>
      </c>
    </row>
    <row r="10" ht="150" customHeight="1">
      <c r="A10" s="23" t="inlineStr">
        <is>
          <t>CPTPP KHÁC (Úc, Canada, Singapore, NZ)</t>
        </is>
      </c>
      <c r="B10" s="9" t="inlineStr">
        <is>
          <t>Thị trường cao cấp, chi trả tốt; Úc/Canada dân số gốc Á đông; Singapore là hub tái xuất &amp; HORECA cao cấp.</t>
        </is>
      </c>
      <c r="C10" s="9" t="inlineStr">
        <is>
          <t>Tôm, cá tra, cá ngừ; xoài, thanh long, nhãn, vải, dừa, chanh dây.</t>
        </is>
      </c>
      <c r="D10" s="9" t="inlineStr">
        <is>
          <t>Importer chuyên; siêu thị (Woolworths, Loblaws, FairPrice); HORECA; cộng đồng gốc Á.</t>
        </is>
      </c>
      <c r="E10" s="9" t="inlineStr">
        <is>
          <t>Khắt khe kiểm dịch (Úc rất nghiêm); chuộng chứng nhận &amp; bền vững; hợp đồng ổn định; giá tốt.</t>
        </is>
      </c>
      <c r="F10" s="9" t="inlineStr">
        <is>
          <t>CPTPP: lộ trình 0% nhiều dòng; ưu đãi lớn cho tôm/cá &amp; trái cây đã mở cửa.</t>
        </is>
      </c>
      <c r="G10" s="20" t="inlineStr">
        <is>
          <t>Kiểm dịch sinh vật hại rất nghiêm (Úc/NZ); chiếu xạ trái cây; khoảng cách xa (Canada); quy mô đơn lẻ nhỏ.</t>
        </is>
      </c>
      <c r="H10" s="9" t="inlineStr">
        <is>
          <t>Tận dụng CPTPP; hoàn tất mở cửa kiểm dịch trái cây; Singapore làm hub; nhắm cộng đồng gốc Á.</t>
        </is>
      </c>
      <c r="I10" s="9" t="inlineStr">
        <is>
          <t>Value-added &amp; hữu cơ cao cấp; thương hiệu; mở rộng trái cây tươi (Úc, Canada); HORECA cao cấp.</t>
        </is>
      </c>
      <c r="J10" s="26" t="inlineStr">
        <is>
          <t>TRUNG BÌNH</t>
        </is>
      </c>
    </row>
    <row r="11" ht="150" customHeight="1">
      <c r="A11" s="25" t="inlineStr">
        <is>
          <t>TRUNG ĐÔNG (UAE, Saudi Arabia)</t>
        </is>
      </c>
      <c r="B11" s="11" t="inlineStr">
        <is>
          <t>Trung tâm tái xuất (Dubai); thu nhập cao; nhập khẩu gần như toàn bộ thực phẩm; Halal bắt buộc; tăng trưởng nhanh.</t>
        </is>
      </c>
      <c r="C11" s="11" t="inlineStr">
        <is>
          <t>Tôm, cá tra, cá ngừ; sầu riêng, xoài, thanh long, dừa, chanh dây.</t>
        </is>
      </c>
      <c r="D11" s="11" t="inlineStr">
        <is>
          <t>Importer/distributor &amp; re-exporter (Dubai); đại siêu thị (Carrefour, Lulu); HORECA khách sạn cao cấp.</t>
        </is>
      </c>
      <c r="E11" s="11" t="inlineStr">
        <is>
          <t>Ưa nguồn cung ổn định &amp; Halal; nhạy giá vừa phải; Dubai tái xuất đi châu Phi/CIS; thanh toán tương đối tốt.</t>
        </is>
      </c>
      <c r="F11" s="11" t="inlineStr">
        <is>
          <t>Chưa có FTA (đang đàm phán CEPA VN–UAE); thuế nhập khẩu thấp (~0–5%) &amp; thống nhất GCC.</t>
        </is>
      </c>
      <c r="G11" s="21" t="inlineStr">
        <is>
          <t>Chứng nhận Halal bắt buộc; tiêu chuẩn ESMA/SFDA; cạnh tranh nguồn cung toàn cầu; logistics xa.</t>
        </is>
      </c>
      <c r="H11" s="11" t="inlineStr">
        <is>
          <t>Đạt chứng nhận Halal; qua distributor Dubai; đẩy cá tra &amp; tôm; hiện diện hội chợ Gulfood.</t>
        </is>
      </c>
      <c r="I11" s="11" t="inlineStr">
        <is>
          <t>Dùng Dubai làm hub đi châu Phi; ký CEPA VN–UAE; thương hiệu trái cây cao cấp cho khách sạn; sầu riêng cao cấp.</t>
        </is>
      </c>
      <c r="J11" s="26" t="inlineStr">
        <is>
          <t>TRUNG BÌNH</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4" customWidth="1" min="4" max="4"/>
    <col width="20" customWidth="1" min="5" max="5"/>
    <col width="46" customWidth="1" min="6" max="6"/>
  </cols>
  <sheetData>
    <row r="1" ht="34" customHeight="1">
      <c r="A1" s="17" t="inlineStr">
        <is>
          <t>D. MA TRẬN ƯU TIÊN CHIẾN LƯỢC</t>
        </is>
      </c>
    </row>
    <row r="2" ht="18" customHeight="1">
      <c r="A2" s="18" t="inlineStr">
        <is>
          <t>Hấp dẫn thị trường × Lợi thế cạnh tranh VN → Tấn công / Duy trì / Đầu tư dài hạn / Hạn chế</t>
        </is>
      </c>
    </row>
    <row r="3" ht="30" customHeight="1">
      <c r="A3" s="27" t="inlineStr">
        <is>
          <t>Quy tắc phân loại điểm tổng (Hấp dẫn × Lợi thế, tối đa 25):  TẤN CÔNG ≥16 (cả 2 cao)  ·  DUY TRÌ: lợi thế cao nhưng thị trường vừa/khó  ·  ĐẦU TƯ DÀI HẠN: thị trường hấp dẫn nhưng lợi thế đang xây  ·  HẠN CHẾ: cả 2 thấp (&lt;9)</t>
        </is>
      </c>
    </row>
    <row r="4" ht="40" customHeight="1">
      <c r="A4" s="19" t="inlineStr">
        <is>
          <t>Nhóm hàng × Thị trường</t>
        </is>
      </c>
      <c r="B4" s="19" t="inlineStr">
        <is>
          <t>Hấp dẫn thị trường (1–5)</t>
        </is>
      </c>
      <c r="C4" s="19" t="inlineStr">
        <is>
          <t>Lợi thế cạnh tranh VN (1–5)</t>
        </is>
      </c>
      <c r="D4" s="19" t="inlineStr">
        <is>
          <t>Điểm tổng (=tích)</t>
        </is>
      </c>
      <c r="E4" s="19" t="inlineStr">
        <is>
          <t>Nhóm chiến lược</t>
        </is>
      </c>
      <c r="F4" s="19" t="inlineStr">
        <is>
          <t>Hành động cốt lõi</t>
        </is>
      </c>
    </row>
    <row r="5" ht="34" customHeight="1">
      <c r="A5" s="28" t="inlineStr">
        <is>
          <t>Sầu riêng × Trung Quốc</t>
        </is>
      </c>
      <c r="B5" s="29" t="n">
        <v>5</v>
      </c>
      <c r="C5" s="29" t="n">
        <v>5</v>
      </c>
      <c r="D5" s="30">
        <f>B5*C5</f>
        <v/>
      </c>
      <c r="E5" s="24" t="inlineStr">
        <is>
          <t>Tấn công</t>
        </is>
      </c>
      <c r="F5" s="31" t="inlineStr">
        <is>
          <t>Chuẩn hóa mã vùng trồng GACC, mở rộng đông lạnh, khóa quan hệ đầu mối lớn, kiểm soát Cd.</t>
        </is>
      </c>
    </row>
    <row r="6" ht="34" customHeight="1">
      <c r="A6" s="32" t="inlineStr">
        <is>
          <t>Tôm value-added × Nhật Bản</t>
        </is>
      </c>
      <c r="B6" s="33" t="n">
        <v>5</v>
      </c>
      <c r="C6" s="33" t="n">
        <v>5</v>
      </c>
      <c r="D6" s="34">
        <f>B6*C6</f>
        <v/>
      </c>
      <c r="E6" s="24" t="inlineStr">
        <is>
          <t>Tấn công</t>
        </is>
      </c>
      <c r="F6" s="35" t="inlineStr">
        <is>
          <t>Giữ chất lượng Nobashi/sushi ebi, OEM cho retail, quan hệ sogo shosha.</t>
        </is>
      </c>
    </row>
    <row r="7" ht="34" customHeight="1">
      <c r="A7" s="28" t="inlineStr">
        <is>
          <t>Tôm value-added × EU</t>
        </is>
      </c>
      <c r="B7" s="29" t="n">
        <v>5</v>
      </c>
      <c r="C7" s="29" t="n">
        <v>4</v>
      </c>
      <c r="D7" s="30">
        <f>B7*C7</f>
        <v/>
      </c>
      <c r="E7" s="24" t="inlineStr">
        <is>
          <t>Tấn công</t>
        </is>
      </c>
      <c r="F7" s="31" t="inlineStr">
        <is>
          <t>Tận dụng EVFTA về 0%, đạt ASC/hữu cơ, vào Đức/Hà Lan.</t>
        </is>
      </c>
    </row>
    <row r="8" ht="34" customHeight="1">
      <c r="A8" s="32" t="inlineStr">
        <is>
          <t>Cá tra × Trung Quốc</t>
        </is>
      </c>
      <c r="B8" s="33" t="n">
        <v>5</v>
      </c>
      <c r="C8" s="33" t="n">
        <v>5</v>
      </c>
      <c r="D8" s="34">
        <f>B8*C8</f>
        <v/>
      </c>
      <c r="E8" s="24" t="inlineStr">
        <is>
          <t>Tấn công</t>
        </is>
      </c>
      <c r="F8" s="35" t="inlineStr">
        <is>
          <t>Phục hồi thị phần, chính ngạch, portion value-added, giá cạnh tranh.</t>
        </is>
      </c>
    </row>
    <row r="9" ht="34" customHeight="1">
      <c r="A9" s="28" t="inlineStr">
        <is>
          <t>Bạch tuộc/Mực × Hàn Quốc</t>
        </is>
      </c>
      <c r="B9" s="29" t="n">
        <v>4</v>
      </c>
      <c r="C9" s="29" t="n">
        <v>4</v>
      </c>
      <c r="D9" s="30">
        <f>B9*C9</f>
        <v/>
      </c>
      <c r="E9" s="24" t="inlineStr">
        <is>
          <t>Tấn công</t>
        </is>
      </c>
      <c r="F9" s="31" t="inlineStr">
        <is>
          <t>Đẩy sản phẩm chế biến tiện lợi, tận dụng VKFTA, lên Coupang.</t>
        </is>
      </c>
    </row>
    <row r="10" ht="34" customHeight="1">
      <c r="A10" s="32" t="inlineStr">
        <is>
          <t>Cá ngừ đồ hộp × EU</t>
        </is>
      </c>
      <c r="B10" s="33" t="n">
        <v>4</v>
      </c>
      <c r="C10" s="33" t="n">
        <v>4</v>
      </c>
      <c r="D10" s="34">
        <f>B10*C10</f>
        <v/>
      </c>
      <c r="E10" s="24" t="inlineStr">
        <is>
          <t>Tấn công</t>
        </is>
      </c>
      <c r="F10" s="35" t="inlineStr">
        <is>
          <t>Khai thác hạn ngạch EVFTA, chủ động nguyên liệu, gỡ thẻ vàng IUU.</t>
        </is>
      </c>
    </row>
    <row r="11" ht="34" customHeight="1">
      <c r="A11" s="28" t="inlineStr">
        <is>
          <t>Dừa &amp; nước dừa × Hoa Kỳ</t>
        </is>
      </c>
      <c r="B11" s="29" t="n">
        <v>5</v>
      </c>
      <c r="C11" s="29" t="n">
        <v>4</v>
      </c>
      <c r="D11" s="30">
        <f>B11*C11</f>
        <v/>
      </c>
      <c r="E11" s="24" t="inlineStr">
        <is>
          <t>Tấn công</t>
        </is>
      </c>
      <c r="F11" s="31" t="inlineStr">
        <is>
          <t>Cưỡi xu hướng healthy, thương hiệu nước dừa, kho tại Mỹ.</t>
        </is>
      </c>
    </row>
    <row r="12" ht="34" customHeight="1">
      <c r="A12" s="32" t="inlineStr">
        <is>
          <t>Chuối × Trung Quốc/Nhật/Hàn</t>
        </is>
      </c>
      <c r="B12" s="33" t="n">
        <v>4</v>
      </c>
      <c r="C12" s="33" t="n">
        <v>4</v>
      </c>
      <c r="D12" s="34">
        <f>B12*C12</f>
        <v/>
      </c>
      <c r="E12" s="24" t="inlineStr">
        <is>
          <t>Tấn công</t>
        </is>
      </c>
      <c r="F12" s="35" t="inlineStr">
        <is>
          <t>Thay thị phần Philippines, kiểm soát dịch Panama, tăng chuối sấy.</t>
        </is>
      </c>
    </row>
    <row r="13" ht="34" customHeight="1">
      <c r="A13" s="28" t="inlineStr">
        <is>
          <t>Xoài (puree/tươi) × Nhật/Hàn/EU</t>
        </is>
      </c>
      <c r="B13" s="29" t="n">
        <v>4</v>
      </c>
      <c r="C13" s="29" t="n">
        <v>4</v>
      </c>
      <c r="D13" s="30">
        <f>B13*C13</f>
        <v/>
      </c>
      <c r="E13" s="24" t="inlineStr">
        <is>
          <t>Tấn công</t>
        </is>
      </c>
      <c r="F13" s="31" t="inlineStr">
        <is>
          <t>Xử lý kiểm dịch, đẩy puree cho ngành đồ uống, tươi cao cấp.</t>
        </is>
      </c>
    </row>
    <row r="14" ht="34" customHeight="1">
      <c r="A14" s="32" t="inlineStr">
        <is>
          <t>Cá tra × Hoa Kỳ</t>
        </is>
      </c>
      <c r="B14" s="33" t="n">
        <v>4</v>
      </c>
      <c r="C14" s="33" t="n">
        <v>4</v>
      </c>
      <c r="D14" s="34">
        <f>B14*C14</f>
        <v/>
      </c>
      <c r="E14" s="36" t="inlineStr">
        <is>
          <t>Duy trì</t>
        </is>
      </c>
      <c r="F14" s="35" t="inlineStr">
        <is>
          <t>Giữ thị phần dưới áp lực thuế CBPG; đa dạng SP né thuế.</t>
        </is>
      </c>
    </row>
    <row r="15" ht="34" customHeight="1">
      <c r="A15" s="28" t="inlineStr">
        <is>
          <t>Tôm × Hoa Kỳ</t>
        </is>
      </c>
      <c r="B15" s="29" t="n">
        <v>5</v>
      </c>
      <c r="C15" s="29" t="n">
        <v>3</v>
      </c>
      <c r="D15" s="30">
        <f>B15*C15</f>
        <v/>
      </c>
      <c r="E15" s="36" t="inlineStr">
        <is>
          <t>Duy trì</t>
        </is>
      </c>
      <c r="F15" s="31" t="inlineStr">
        <is>
          <t>Đối phó CBPG bằng value-added; giữ khách lớn; kho tại chỗ.</t>
        </is>
      </c>
    </row>
    <row r="16" ht="34" customHeight="1">
      <c r="A16" s="32" t="inlineStr">
        <is>
          <t>Chanh dây juice × EU</t>
        </is>
      </c>
      <c r="B16" s="33" t="n">
        <v>4</v>
      </c>
      <c r="C16" s="33" t="n">
        <v>4</v>
      </c>
      <c r="D16" s="34">
        <f>B16*C16</f>
        <v/>
      </c>
      <c r="E16" s="24" t="inlineStr">
        <is>
          <t>Tấn công</t>
        </is>
      </c>
      <c r="F16" s="35" t="inlineStr">
        <is>
          <t>Tận dụng EVFTA 0%, nâng chất lượng concentrate cạnh tranh Nam Mỹ.</t>
        </is>
      </c>
    </row>
    <row r="17" ht="34" customHeight="1">
      <c r="A17" s="28" t="inlineStr">
        <is>
          <t>Tôm/Cá tra × Trung Đông</t>
        </is>
      </c>
      <c r="B17" s="29" t="n">
        <v>4</v>
      </c>
      <c r="C17" s="29" t="n">
        <v>4</v>
      </c>
      <c r="D17" s="30">
        <f>B17*C17</f>
        <v/>
      </c>
      <c r="E17" s="26" t="inlineStr">
        <is>
          <t>Đầu tư dài hạn</t>
        </is>
      </c>
      <c r="F17" s="31" t="inlineStr">
        <is>
          <t>Đạt Halal, qua hub Dubai, ký CEPA VN–UAE, hội chợ Gulfood.</t>
        </is>
      </c>
    </row>
    <row r="18" ht="34" customHeight="1">
      <c r="A18" s="32" t="inlineStr">
        <is>
          <t>Sầu riêng × Ấn Độ</t>
        </is>
      </c>
      <c r="B18" s="33" t="n">
        <v>4</v>
      </c>
      <c r="C18" s="33" t="n">
        <v>3</v>
      </c>
      <c r="D18" s="34">
        <f>B18*C18</f>
        <v/>
      </c>
      <c r="E18" s="26" t="inlineStr">
        <is>
          <t>Đầu tư dài hạn</t>
        </is>
      </c>
      <c r="F18" s="35" t="inlineStr">
        <is>
          <t>Thử nghiệm qua importer uy tín, xây quan hệ, kiểm soát rủi ro thanh toán.</t>
        </is>
      </c>
    </row>
    <row r="19" ht="34" customHeight="1">
      <c r="A19" s="28" t="inlineStr">
        <is>
          <t>Trái cây tươi × CPTPP (Úc/Canada)</t>
        </is>
      </c>
      <c r="B19" s="29" t="n">
        <v>4</v>
      </c>
      <c r="C19" s="29" t="n">
        <v>3</v>
      </c>
      <c r="D19" s="30">
        <f>B19*C19</f>
        <v/>
      </c>
      <c r="E19" s="26" t="inlineStr">
        <is>
          <t>Đầu tư dài hạn</t>
        </is>
      </c>
      <c r="F19" s="31" t="inlineStr">
        <is>
          <t>Hoàn tất mở cửa kiểm dịch, tận dụng CPTPP, nhắm cộng đồng gốc Á.</t>
        </is>
      </c>
    </row>
    <row r="20" ht="34" customHeight="1">
      <c r="A20" s="32" t="inlineStr">
        <is>
          <t>Sầu riêng/Dừa × Trung Đông</t>
        </is>
      </c>
      <c r="B20" s="33" t="n">
        <v>4</v>
      </c>
      <c r="C20" s="33" t="n">
        <v>3</v>
      </c>
      <c r="D20" s="34">
        <f>B20*C20</f>
        <v/>
      </c>
      <c r="E20" s="26" t="inlineStr">
        <is>
          <t>Đầu tư dài hạn</t>
        </is>
      </c>
      <c r="F20" s="35" t="inlineStr">
        <is>
          <t>Sản phẩm cao cấp cho khách sạn; Halal; distributor Dubai.</t>
        </is>
      </c>
    </row>
    <row r="21" ht="34" customHeight="1">
      <c r="A21" s="28" t="inlineStr">
        <is>
          <t>Thanh long × Trung Quốc</t>
        </is>
      </c>
      <c r="B21" s="29" t="n">
        <v>3</v>
      </c>
      <c r="C21" s="29" t="n">
        <v>3</v>
      </c>
      <c r="D21" s="30">
        <f>B21*C21</f>
        <v/>
      </c>
      <c r="E21" s="36" t="inlineStr">
        <is>
          <t>Duy trì</t>
        </is>
      </c>
      <c r="F21" s="31" t="inlineStr">
        <is>
          <t>Thị trường bão hòa do TQ tự trồng; chuyển sang đông lạnh/chế biến.</t>
        </is>
      </c>
    </row>
    <row r="22" ht="34" customHeight="1">
      <c r="A22" s="32" t="inlineStr">
        <is>
          <t>Thanh long × Ấn Độ/EU/Trung Đông</t>
        </is>
      </c>
      <c r="B22" s="33" t="n">
        <v>3</v>
      </c>
      <c r="C22" s="33" t="n">
        <v>3</v>
      </c>
      <c r="D22" s="34">
        <f>B22*C22</f>
        <v/>
      </c>
      <c r="E22" s="26" t="inlineStr">
        <is>
          <t>Đầu tư dài hạn</t>
        </is>
      </c>
      <c r="F22" s="35" t="inlineStr">
        <is>
          <t>Đa dạng hóa khỏi TQ; chế biến sâu; thị trường mới.</t>
        </is>
      </c>
    </row>
    <row r="23" ht="34" customHeight="1">
      <c r="A23" s="28" t="inlineStr">
        <is>
          <t>Mực/Bạch tuộc × EU</t>
        </is>
      </c>
      <c r="B23" s="29" t="n">
        <v>3</v>
      </c>
      <c r="C23" s="29" t="n">
        <v>2</v>
      </c>
      <c r="D23" s="30">
        <f>B23*C23</f>
        <v/>
      </c>
      <c r="E23" s="37" t="inlineStr">
        <is>
          <t>Hạn chế</t>
        </is>
      </c>
      <c r="F23" s="31" t="inlineStr">
        <is>
          <t>Bị thẻ vàng IUU cản trở; chờ gỡ thẻ mới đẩy mạnh.</t>
        </is>
      </c>
    </row>
    <row r="24" ht="34" customHeight="1">
      <c r="A24" s="32" t="inlineStr">
        <is>
          <t>Thanh long tươi × Nhật/Hàn (đại trà)</t>
        </is>
      </c>
      <c r="B24" s="33" t="n">
        <v>2</v>
      </c>
      <c r="C24" s="33" t="n">
        <v>2</v>
      </c>
      <c r="D24" s="34">
        <f>B24*C24</f>
        <v/>
      </c>
      <c r="E24" s="37" t="inlineStr">
        <is>
          <t>Hạn chế</t>
        </is>
      </c>
      <c r="F24" s="35" t="inlineStr">
        <is>
          <t>Quy mô nhỏ, kiểm dịch tốn kém; chỉ làm phân khúc quà tặng cao cấp.</t>
        </is>
      </c>
    </row>
  </sheetData>
  <mergeCells count="3">
    <mergeCell ref="A3:F3"/>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showGridLines="0" workbookViewId="0">
      <pane ySplit="3" topLeftCell="A4" activePane="bottomLeft" state="frozen"/>
      <selection pane="bottomLeft" activeCell="A1" sqref="A1"/>
    </sheetView>
  </sheetViews>
  <sheetFormatPr baseColWidth="8" defaultRowHeight="15"/>
  <cols>
    <col width="16" customWidth="1" min="1" max="1"/>
    <col width="22" customWidth="1" min="2" max="2"/>
    <col width="34" customWidth="1" min="3" max="3"/>
    <col width="34" customWidth="1" min="4" max="4"/>
    <col width="24" customWidth="1" min="5" max="5"/>
    <col width="30" customWidth="1" min="6" max="6"/>
  </cols>
  <sheetData>
    <row r="1" ht="34" customHeight="1">
      <c r="A1" s="1" t="inlineStr">
        <is>
          <t>E. LỘ TRÌNH CHIẾN LƯỢC 2026–2030</t>
        </is>
      </c>
    </row>
    <row r="2" ht="18" customHeight="1">
      <c r="A2" s="2" t="inlineStr">
        <is>
          <t>3 giai đoạn: Tấn công nhanh → Mở rộng &amp; nâng cấp giá trị → Định vị thương hiệu cao cấp</t>
        </is>
      </c>
    </row>
    <row r="3" ht="40" customHeight="1">
      <c r="A3" s="22" t="inlineStr">
        <is>
          <t>Giai đoạn</t>
        </is>
      </c>
      <c r="B3" s="22" t="inlineStr">
        <is>
          <t>Chủ đề chiến lược</t>
        </is>
      </c>
      <c r="C3" s="22" t="inlineStr">
        <is>
          <t>Trái cây – hành động trọng tâm</t>
        </is>
      </c>
      <c r="D3" s="22" t="inlineStr">
        <is>
          <t>Thủy sản – hành động trọng tâm</t>
        </is>
      </c>
      <c r="E3" s="22" t="inlineStr">
        <is>
          <t>Thị trường ưu tiên</t>
        </is>
      </c>
      <c r="F3" s="22" t="inlineStr">
        <is>
          <t>KPI / Mục tiêu</t>
        </is>
      </c>
    </row>
    <row r="4" ht="150" customHeight="1">
      <c r="A4" s="38" t="inlineStr">
        <is>
          <t>2026–2027
TẤN CÔNG NHANH</t>
        </is>
      </c>
      <c r="B4" s="8" t="inlineStr">
        <is>
          <t>Chiếm thị phần bằng lợi thế sẵn có &amp; FTA</t>
        </is>
      </c>
      <c r="C4" s="9" t="inlineStr">
        <is>
          <t>• Chuẩn hóa mã vùng trồng (GACC/GlobalGAP)
• Bùng nổ sầu riêng đông lạnh vào TQ
• Đẩy dừa &amp; nước dừa vào Mỹ/TQ
• Chuối thay thị phần Philippines
• Xử lý kiểm dịch xoài/chanh dây mở cửa mới</t>
        </is>
      </c>
      <c r="D4" s="9" t="inlineStr">
        <is>
          <t>• Giữ &amp; tăng tôm value-added ở Nhật/EU/Hàn
• Phục hồi cá tra tại TQ &amp; Mỹ
• Dự án gỡ thẻ vàng IUU (mực/bạch tuộc/cá ngừ)
• Khai thác hạn ngạch cá ngừ EVFTA
• Kiểm soát kháng sinh &amp; truy xuất</t>
        </is>
      </c>
      <c r="E4" s="9" t="inlineStr">
        <is>
          <t>Trung Quốc, Nhật, Hàn, EU, Mỹ</t>
        </is>
      </c>
      <c r="F4" s="39" t="inlineStr">
        <is>
          <t>• Tăng trưởng kim ngạch 2 nhóm 10–15%/năm
• Sầu riêng vượt 3,5–4 tỷ USD
• Giảm tỷ trọng tiểu ngạch TQ &lt;20%</t>
        </is>
      </c>
    </row>
    <row r="5" ht="150" customHeight="1">
      <c r="A5" s="40" t="inlineStr">
        <is>
          <t>2028–2029
MỞ RỘNG &amp; NÂNG CẤP GIÁ TRỊ</t>
        </is>
      </c>
      <c r="B5" s="41" t="inlineStr">
        <is>
          <t>Đa dạng thị trường &amp; tăng chế biến sâu</t>
        </is>
      </c>
      <c r="C5" s="11" t="inlineStr">
        <is>
          <t>• Tăng tỷ trọng đông lạnh/puree/sấy (value-added)
• Mở rộng Ấn Độ, Trung Đông, CPTPP
• Thương hiệu vùng trồng &amp; chỉ dẫn địa lý
• Giảm phụ thuộc TQ cho thanh long (đa dạng)</t>
        </is>
      </c>
      <c r="D5" s="11" t="inlineStr">
        <is>
          <t>• Nâng tỷ trọng sản phẩm ăn liền/HMR
• Chủ động nguyên liệu cá ngừ (đội tàu/nhập hợp chuẩn)
• Mở Trung Đông (Halal) &amp; Nam Mỹ cho cá tra
• Đạt ASC/BAP diện rộng; tuân thủ EUDR/CBAM</t>
        </is>
      </c>
      <c r="E5" s="11" t="inlineStr">
        <is>
          <t>Trung Đông, CPTPP (Úc/Canada), Ấn Độ, EU (nâng cấp)</t>
        </is>
      </c>
      <c r="F5" s="42" t="inlineStr">
        <is>
          <t>• Tỷ trọng value-added &gt;40%
• Top 3 thị trường chiếm &lt;60% (giảm rủi ro tập trung)
• Ký CEPA VN–UAE; gỡ thẻ vàng IUU</t>
        </is>
      </c>
    </row>
    <row r="6" ht="150" customHeight="1">
      <c r="A6" s="43" t="inlineStr">
        <is>
          <t>2030
ĐỊNH VỊ THƯƠNG HIỆU CAO CẤP</t>
        </is>
      </c>
      <c r="B6" s="23" t="inlineStr">
        <is>
          <t>Thương hiệu quốc gia &amp; bền vững</t>
        </is>
      </c>
      <c r="C6" s="9" t="inlineStr">
        <is>
          <t>• Thương hiệu trái cây Việt cao cấp toàn cầu
• Chuỗi hữu cơ &amp; truy xuất blockchain
• Sản phẩm giá trị cao (sầu riêng thăng hoa, nước dừa premium)</t>
        </is>
      </c>
      <c r="D6" s="9" t="inlineStr">
        <is>
          <t>• Thương hiệu tôm/cá tra bền vững (ASC/hữu cơ)
• Dẫn đầu chế biến sâu &amp; sản phẩm chức năng (collagen, protein)
• Trung hòa carbon chuỗi cung ứng</t>
        </is>
      </c>
      <c r="E6" s="9" t="inlineStr">
        <is>
          <t>Toàn cầu – phân khúc cao cấp</t>
        </is>
      </c>
      <c r="F6" s="39" t="inlineStr">
        <is>
          <t>• Kim ngạch 2 nhóm mục tiêu tăng gấp ~1,5–2 lần so với 2025
• Thương hiệu quốc gia được nhận diện
• Phát triển bền vững &amp; carbon thấp</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showGridLines="0" workbookViewId="0">
      <pane ySplit="3" topLeftCell="A4" activePane="bottomLeft" state="frozen"/>
      <selection pane="bottomLeft" activeCell="A1" sqref="A1"/>
    </sheetView>
  </sheetViews>
  <sheetFormatPr baseColWidth="8" defaultRowHeight="15"/>
  <cols>
    <col width="20" customWidth="1" min="1" max="1"/>
    <col width="14" customWidth="1" min="2" max="2"/>
    <col width="24" customWidth="1" min="3" max="3"/>
    <col width="24" customWidth="1" min="4" max="4"/>
    <col width="22" customWidth="1" min="5" max="5"/>
    <col width="30" customWidth="1" min="6" max="6"/>
    <col width="26" customWidth="1" min="7" max="7"/>
    <col width="22" customWidth="1" min="8" max="8"/>
    <col width="14" customWidth="1" min="9" max="9"/>
  </cols>
  <sheetData>
    <row r="1" ht="34" customHeight="1">
      <c r="A1" s="17" t="inlineStr">
        <is>
          <t>ĐÀO SÂU: TRÁI CÂY SẤY (VALUE-ADDED)</t>
        </is>
      </c>
    </row>
    <row r="2" ht="18" customHeight="1">
      <c r="A2" s="18" t="inlineStr">
        <is>
          <t>Sấy dẻo · sấy giòn/chân không · sấy thăng hoa (freeze-dried) — nhóm biên lợi nhuận cao, ít rào cản kiểm dịch tươi</t>
        </is>
      </c>
    </row>
    <row r="3" ht="40" customHeight="1">
      <c r="A3" s="19" t="inlineStr">
        <is>
          <t>Dòng sản phẩm</t>
        </is>
      </c>
      <c r="B3" s="19" t="inlineStr">
        <is>
          <t>Mã HS</t>
        </is>
      </c>
      <c r="C3" s="19" t="inlineStr">
        <is>
          <t>Nguyên liệu tiêu biểu</t>
        </is>
      </c>
      <c r="D3" s="19" t="inlineStr">
        <is>
          <t>Phân khúc &amp; kênh</t>
        </is>
      </c>
      <c r="E3" s="19" t="inlineStr">
        <is>
          <t>Đối thủ chính</t>
        </is>
      </c>
      <c r="F3" s="19" t="inlineStr">
        <is>
          <t>Lợi thế của Việt Nam</t>
        </is>
      </c>
      <c r="G3" s="19" t="inlineStr">
        <is>
          <t>Rào cản kỹ thuật</t>
        </is>
      </c>
      <c r="H3" s="19" t="inlineStr">
        <is>
          <t>Thị trường mục tiêu</t>
        </is>
      </c>
      <c r="I3" s="19" t="inlineStr">
        <is>
          <t>Tăng trưởng</t>
        </is>
      </c>
    </row>
    <row r="4" ht="104" customHeight="1">
      <c r="A4" s="44" t="inlineStr">
        <is>
          <t>Sấy dẻo (soft-dried / infused)</t>
        </is>
      </c>
      <c r="B4" s="9" t="inlineStr">
        <is>
          <t>0813.40
2008.99</t>
        </is>
      </c>
      <c r="C4" s="9" t="inlineStr">
        <is>
          <t>Xoài, mít, chuối, thơm/dứa, thanh long, đu đủ, me</t>
        </is>
      </c>
      <c r="D4" s="9" t="inlineStr">
        <is>
          <t>Retail snack healthy; E-commerce; quà tặng; HORECA (topping/bánh)</t>
        </is>
      </c>
      <c r="E4" s="9" t="inlineStr">
        <is>
          <t>Thái Lan (thương hiệu mạnh), Philippines (xoài sấy số 1)</t>
        </is>
      </c>
      <c r="F4" s="45" t="inlineStr">
        <is>
          <t>Đa dạng nguyên liệu nhiệt đới; chi phí thấp; tận dụng trái xấu mã/dư thừa; bảo quản lâu, không cần chuỗi lạnh</t>
        </is>
      </c>
      <c r="G4" s="20" t="inlineStr">
        <is>
          <t>Giới hạn đường bổ sung &amp; SO2 (EU/US); nhãn mác; FSSC/BRC/HACCP</t>
        </is>
      </c>
      <c r="H4" s="9" t="inlineStr">
        <is>
          <t>Mỹ, EU, Nhật, Hàn, Trung Đông, TQ</t>
        </is>
      </c>
      <c r="I4" s="24" t="inlineStr">
        <is>
          <t>RẤT CAO</t>
        </is>
      </c>
    </row>
    <row r="5" ht="104" customHeight="1">
      <c r="A5" s="46" t="inlineStr">
        <is>
          <t>Sấy giòn / chiên chân không (vacuum-fried)</t>
        </is>
      </c>
      <c r="B5" s="11" t="inlineStr">
        <is>
          <t>2008.99</t>
        </is>
      </c>
      <c r="C5" s="11" t="inlineStr">
        <is>
          <t>Mít, khoai, chuối, hỗn hợp rau củ quả, đậu bắp</t>
        </is>
      </c>
      <c r="D5" s="11" t="inlineStr">
        <is>
          <t>Retail snack; E-commerce; ăn vặt healthy; horeca</t>
        </is>
      </c>
      <c r="E5" s="11" t="inlineStr">
        <is>
          <t>Thái Lan (dẫn đầu công nghệ VF), Trung Quốc</t>
        </is>
      </c>
      <c r="F5" s="47" t="inlineStr">
        <is>
          <t>Giữ màu/vị tự nhiên; ít dầu; công nghệ VF phổ biến; nguyên liệu rẻ; mít Việt lợi thế</t>
        </is>
      </c>
      <c r="G5" s="21" t="inlineStr">
        <is>
          <t>Hàm lượng dầu/acrylamide; bao bì chống ẩm; tiêu chuẩn ATTP</t>
        </is>
      </c>
      <c r="H5" s="11" t="inlineStr">
        <is>
          <t>Mỹ, EU, Nhật, Hàn, Trung Đông</t>
        </is>
      </c>
      <c r="I5" s="24" t="inlineStr">
        <is>
          <t>RẤT CAO</t>
        </is>
      </c>
    </row>
    <row r="6" ht="104" customHeight="1">
      <c r="A6" s="44" t="inlineStr">
        <is>
          <t>Sấy thăng hoa (freeze-dried, FD)</t>
        </is>
      </c>
      <c r="B6" s="9" t="inlineStr">
        <is>
          <t>0813.40
2008.99 (premium)</t>
        </is>
      </c>
      <c r="C6" s="9" t="inlineStr">
        <is>
          <t>Sầu riêng, xoài, dâu, mít, chanh dây, dừa</t>
        </is>
      </c>
      <c r="D6" s="9" t="inlineStr">
        <is>
          <t>Retail premium; nguyên liệu cao cấp (ngũ cốc, sữa chua, bakery); quà biếu; E-commerce</t>
        </is>
      </c>
      <c r="E6" s="9" t="inlineStr">
        <is>
          <t>Thái Lan, Trung Quốc, một phần EU/Mỹ (SP nhập nguyên liệu)</t>
        </is>
      </c>
      <c r="F6" s="45" t="inlineStr">
        <is>
          <t>Giữ ~100% dinh dưỡng &amp; hương vị; sầu riêng FD độc đáo; biên lợi nhuận rất cao; đầu ra cho trái vụ</t>
        </is>
      </c>
      <c r="G6" s="20" t="inlineStr">
        <is>
          <t>Chi phí đầu tư máy FD lớn; kiểm soát ẩm; giá thành cao; đóng gói hút chân không/nitrogen</t>
        </is>
      </c>
      <c r="H6" s="9" t="inlineStr">
        <is>
          <t>Mỹ, EU, Nhật, Hàn, Trung Đông (cao cấp)</t>
        </is>
      </c>
      <c r="I6" s="24" t="inlineStr">
        <is>
          <t>RẤT CAO</t>
        </is>
      </c>
    </row>
    <row r="7" ht="104" customHeight="1">
      <c r="A7" s="46" t="inlineStr">
        <is>
          <t>Sấy nhiệt / sấy lạnh truyền thống</t>
        </is>
      </c>
      <c r="B7" s="11" t="inlineStr">
        <is>
          <t>0813.40
0803 (chuối)</t>
        </is>
      </c>
      <c r="C7" s="11" t="inlineStr">
        <is>
          <t>Chuối sấy, dừa sấy, hồng sấy, khế, ổi</t>
        </is>
      </c>
      <c r="D7" s="11" t="inlineStr">
        <is>
          <t>Retail đại trà; Processing (nguyên liệu bánh kẹo); E-commerce</t>
        </is>
      </c>
      <c r="E7" s="11" t="inlineStr">
        <is>
          <t>Philippines (chuối sấy), Thái Lan, Trung Quốc, Thổ Nhĩ Kỳ (dòng khác)</t>
        </is>
      </c>
      <c r="F7" s="47" t="inlineStr">
        <is>
          <t>Vùng nguyên liệu lớn; giá cạnh tranh; dừa sấy Bến Tre mạnh; quy mô công nghiệp</t>
        </is>
      </c>
      <c r="G7" s="21" t="inlineStr">
        <is>
          <t>Cạnh tranh giá; chất lượng đồng đều; nhãn hàng riêng (private label)</t>
        </is>
      </c>
      <c r="H7" s="11" t="inlineStr">
        <is>
          <t>TQ, EU, Trung Đông, Nhật, Hàn</t>
        </is>
      </c>
      <c r="I7" s="48" t="inlineStr">
        <is>
          <t>CAO</t>
        </is>
      </c>
    </row>
    <row r="9" ht="24" customHeight="1">
      <c r="A9" s="49" t="inlineStr">
        <is>
          <t>LỢI THẾ &amp; CHIẾN LƯỢC TRÁI CÂY SẤY — VÌ SAO ĐÂY LÀ MŨI NHỌN VALUE-ADDED</t>
        </is>
      </c>
    </row>
    <row r="10" ht="30" customHeight="1">
      <c r="A10" s="23" t="inlineStr">
        <is>
          <t>Biên lợi nhuận cao</t>
        </is>
      </c>
      <c r="B10" s="50" t="inlineStr">
        <is>
          <t>Chế biến sâu nâng giá trị 3–8 lần so với bán tươi; sầu riêng/xoài FD đặc biệt cao cấp.</t>
        </is>
      </c>
      <c r="C10" s="68" t="n"/>
      <c r="D10" s="68" t="n"/>
      <c r="E10" s="68" t="n"/>
      <c r="F10" s="68" t="n"/>
      <c r="G10" s="68" t="n"/>
      <c r="H10" s="68" t="n"/>
      <c r="I10" s="69" t="n"/>
    </row>
    <row r="11" ht="30" customHeight="1">
      <c r="A11" s="23" t="inlineStr">
        <is>
          <t>Không phụ thuộc mùa vụ</t>
        </is>
      </c>
      <c r="B11" s="50" t="inlineStr">
        <is>
          <t>Sản xuất &amp; xuất khẩu quanh năm; là đầu ra tiêu thụ trái vụ / trái xấu mã, giảm rớt giá tươi.</t>
        </is>
      </c>
      <c r="C11" s="68" t="n"/>
      <c r="D11" s="68" t="n"/>
      <c r="E11" s="68" t="n"/>
      <c r="F11" s="68" t="n"/>
      <c r="G11" s="68" t="n"/>
      <c r="H11" s="68" t="n"/>
      <c r="I11" s="69" t="n"/>
    </row>
    <row r="12" ht="30" customHeight="1">
      <c r="A12" s="23" t="inlineStr">
        <is>
          <t>Ít rào cản kiểm dịch</t>
        </is>
      </c>
      <c r="B12" s="50" t="inlineStr">
        <is>
          <t>Không ruồi đục quả, không cần chiếu xạ/hơi nước nóng; thủ tục đơn giản hơn hàng tươi.</t>
        </is>
      </c>
      <c r="C12" s="68" t="n"/>
      <c r="D12" s="68" t="n"/>
      <c r="E12" s="68" t="n"/>
      <c r="F12" s="68" t="n"/>
      <c r="G12" s="68" t="n"/>
      <c r="H12" s="68" t="n"/>
      <c r="I12" s="69" t="n"/>
    </row>
    <row r="13" ht="30" customHeight="1">
      <c r="A13" s="23" t="inlineStr">
        <is>
          <t>Logistics dễ</t>
        </is>
      </c>
      <c r="B13" s="50" t="inlineStr">
        <is>
          <t>Bảo quản lâu, nhẹ, không cần chuỗi lạnh → cước thấp, đi được thị trường xa (Mỹ/EU/Trung Đông).</t>
        </is>
      </c>
      <c r="C13" s="68" t="n"/>
      <c r="D13" s="68" t="n"/>
      <c r="E13" s="68" t="n"/>
      <c r="F13" s="68" t="n"/>
      <c r="G13" s="68" t="n"/>
      <c r="H13" s="68" t="n"/>
      <c r="I13" s="69" t="n"/>
    </row>
    <row r="14" ht="30" customHeight="1">
      <c r="A14" s="23" t="inlineStr">
        <is>
          <t>Cưỡi xu hướng</t>
        </is>
      </c>
      <c r="B14" s="50" t="inlineStr">
        <is>
          <t>Snack healthy / clean-label / plant-based bùng nổ ở Mỹ &amp; EU; phù hợp E-commerce &amp; thương hiệu riêng.</t>
        </is>
      </c>
      <c r="C14" s="68" t="n"/>
      <c r="D14" s="68" t="n"/>
      <c r="E14" s="68" t="n"/>
      <c r="F14" s="68" t="n"/>
      <c r="G14" s="68" t="n"/>
      <c r="H14" s="68" t="n"/>
      <c r="I14" s="69" t="n"/>
    </row>
    <row r="15" ht="30" customHeight="1">
      <c r="A15" s="51" t="inlineStr">
        <is>
          <t>Điểm yếu cần khắc phục</t>
        </is>
      </c>
      <c r="B15" s="50" t="inlineStr">
        <is>
          <t>Thương hiệu yếu hơn Thái/Philippines; cần R&amp;D bao bì, kiểm soát đường/SO2, đạt BRC/FSSC 22000, xây brand.</t>
        </is>
      </c>
      <c r="C15" s="68" t="n"/>
      <c r="D15" s="68" t="n"/>
      <c r="E15" s="68" t="n"/>
      <c r="F15" s="68" t="n"/>
      <c r="G15" s="68" t="n"/>
      <c r="H15" s="68" t="n"/>
      <c r="I15" s="69" t="n"/>
    </row>
  </sheetData>
  <mergeCells count="9">
    <mergeCell ref="B12:I12"/>
    <mergeCell ref="B13:I13"/>
    <mergeCell ref="A2:I2"/>
    <mergeCell ref="B15:I15"/>
    <mergeCell ref="B11:I11"/>
    <mergeCell ref="B10:I10"/>
    <mergeCell ref="A1:I1"/>
    <mergeCell ref="A9:I9"/>
    <mergeCell ref="B14:I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showGridLines="0" workbookViewId="0">
      <pane ySplit="3" topLeftCell="A4" activePane="bottomLeft" state="frozen"/>
      <selection pane="bottomLeft" activeCell="A1" sqref="A1"/>
    </sheetView>
  </sheetViews>
  <sheetFormatPr baseColWidth="8" defaultRowHeight="15"/>
  <cols>
    <col width="24" customWidth="1" min="1" max="1"/>
    <col width="58" customWidth="1" min="2" max="2"/>
    <col width="58" customWidth="1" min="3" max="3"/>
  </cols>
  <sheetData>
    <row r="1" ht="34" customHeight="1">
      <c r="A1" s="1" t="inlineStr">
        <is>
          <t>ĐÀO SÂU 2 THỊ TRƯỜNG CAO CẤP: EU &amp; HOA KỲ</t>
        </is>
      </c>
    </row>
    <row r="2" ht="18" customHeight="1">
      <c r="A2" s="2" t="inlineStr">
        <is>
          <t>Kim ngạch · sản phẩm ưu tiên · kênh &amp; nhà nhập khẩu · chứng nhận · rào cản đặc thù · chiến lược · hội chợ</t>
        </is>
      </c>
    </row>
    <row r="3" ht="30" customHeight="1">
      <c r="A3" s="22" t="inlineStr">
        <is>
          <t>Tiêu chí</t>
        </is>
      </c>
      <c r="B3" s="22" t="inlineStr">
        <is>
          <t>🇪🇺 LIÊN MINH CHÂU ÂU (EU-27 + UK)</t>
        </is>
      </c>
      <c r="C3" s="22" t="inlineStr">
        <is>
          <t>🇺🇸 HOA KỲ</t>
        </is>
      </c>
    </row>
    <row r="4" ht="74" customHeight="1">
      <c r="A4" s="23" t="inlineStr">
        <is>
          <t>Vị thế &amp; kim ngạch (ước tính)</t>
        </is>
      </c>
      <c r="B4" s="11" t="inlineStr">
        <is>
          <t>Trái cây/rau quả VN vào EU ~0,3 tỷ USD (còn nhỏ, dư địa lớn); thủy sản EU ~1,0–1,2 tỷ USD/năm. EVFTA &amp; UKVFTA là đòn bẩy giảm thuế.</t>
        </is>
      </c>
      <c r="C4" s="11" t="inlineStr">
        <is>
          <t>Trái cây/rau quả VN vào Mỹ ~0,35–0,4 tỷ USD; thủy sản ~1,7–1,8 tỷ USD/năm (thị trường thủy sản số 1 hoặc số 2 của VN).</t>
        </is>
      </c>
    </row>
    <row r="5" ht="74" customHeight="1">
      <c r="A5" s="23" t="inlineStr">
        <is>
          <t>Sản phẩm VN ưu tiên nhất</t>
        </is>
      </c>
      <c r="B5" s="11" t="inlineStr">
        <is>
          <t>Tôm value-added, cá ngừ đồ hộp (hạn ngạch EVFTA), cá tra fillet, chanh dây juice, dừa &amp; nước dừa, TRÁI CÂY SẤY, xoài puree.</t>
        </is>
      </c>
      <c r="C5" s="11" t="inlineStr">
        <is>
          <t>Tôm value-added, cá tra fillet, cá ngừ, dừa &amp; nước dừa (healthy), TRÁI CÂY SẤY &amp; FD, xoài chiếu xạ, thanh long, bưởi.</t>
        </is>
      </c>
    </row>
    <row r="6" ht="74" customHeight="1">
      <c r="A6" s="23" t="inlineStr">
        <is>
          <t>Kênh phân phối &amp; nhà nhập khẩu</t>
        </is>
      </c>
      <c r="B6" s="11" t="inlineStr">
        <is>
          <t>Importer chuyên (Hà Lan/Bỉ là cửa ngõ – Rotterdam/Antwerp); chuỗi bán lẻ giá rẻ (Lidl, Aldi) &amp; cao cấp (Carrefour, REWE, Albert Heijn); phân phối lại toàn EU.</t>
        </is>
      </c>
      <c r="C6" s="11" t="inlineStr">
        <is>
          <t>Importer/distributor lớn; đại siêu thị (Costco, Walmart, Kroger, Whole Foods); chuỗi natural/organic; kênh ethnic Á; E-commerce (Amazon).</t>
        </is>
      </c>
    </row>
    <row r="7" ht="74" customHeight="1">
      <c r="A7" s="23" t="inlineStr">
        <is>
          <t>Buyer &amp; hành vi mua</t>
        </is>
      </c>
      <c r="B7" s="11" t="inlineStr">
        <is>
          <t>Rất coi trọng chứng nhận bền vững (ASC, GlobalGAP, hữu cơ, Rainforest) &amp; CSR; hợp đồng dài hạn; trả giá tốt cho chất lượng ổn định; quy trình audit chặt.</t>
        </is>
      </c>
      <c r="C7" s="11" t="inlineStr">
        <is>
          <t>Mua khối lượng lớn, hợp đồng chặt &amp; phạt nặng; ưa private label &amp; tiện lợi; nhạy thuế CBPG; yêu cầu tuân thủ FDA/FSMA nghiêm ngặt.</t>
        </is>
      </c>
    </row>
    <row r="8" ht="74" customHeight="1">
      <c r="A8" s="23" t="inlineStr">
        <is>
          <t>Chứng nhận bắt buộc / lợi thế</t>
        </is>
      </c>
      <c r="B8" s="11" t="inlineStr">
        <is>
          <t>IFS/BRCGS, FSSC 22000, HACCP; ASC/BAP (thủy sản); hữu cơ EU; GlobalGAP; sắp tới EUDR (không phá rừng) &amp; CBAM.</t>
        </is>
      </c>
      <c r="C8" s="11" t="inlineStr">
        <is>
          <t>FDA registration + FSVP (Foreign Supplier Verification); FSMA; HACCP thủy sản; BAP; SQF/BRC cho retail; USDA Organic (nếu hữu cơ).</t>
        </is>
      </c>
    </row>
    <row r="9" ht="74" customHeight="1">
      <c r="A9" s="23" t="inlineStr">
        <is>
          <t>Rào cản đặc thù &amp; rủi ro</t>
        </is>
      </c>
      <c r="B9" s="21" t="inlineStr">
        <is>
          <t>THẺ VÀNG IUU (hải sản khai thác – rủi ro lớn nhất mực/bạch tuộc/cá ngừ); MRL dư lượng cực nghiêm; giới hạn đường/SO2 (trái cây sấy); EUDR/CBAM &amp; truy xuất; kiểm tăng cường một số lô.</t>
        </is>
      </c>
      <c r="C9" s="21" t="inlineStr">
        <is>
          <t>THUẾ CHỐNG BÁN PHÁ GIÁ (POR tôm &amp; cá tra – rà soát hằng năm); rủi ro thuế đối ứng/chính sách; FDA giữ hàng (import alert); chiếu xạ trái cây; logistics xa &amp; tồn kho.</t>
        </is>
      </c>
    </row>
    <row r="10" ht="74" customHeight="1">
      <c r="A10" s="23" t="inlineStr">
        <is>
          <t>Chiến lược cho TRÁI CÂY SẤY</t>
        </is>
      </c>
      <c r="B10" s="11" t="inlineStr">
        <is>
          <t>Định vị clean-label/organic, kiểm soát đường &amp; SO2, đạt BRCGS; vào chuỗi bán lẻ &amp; health-food qua importer Hà Lan/Đức; nhấn xuất xứ nhiệt đới &amp; bền vững.</t>
        </is>
      </c>
      <c r="C10" s="11" t="inlineStr">
        <is>
          <t>Đánh mạnh snack healthy &amp; FD cao cấp; lên Amazon/retail; private label cho nhà phân phối; nhấn 'tropical, no-additive'; tận dụng cộng đồng gốc Á làm bàn đạp.</t>
        </is>
      </c>
    </row>
    <row r="11" ht="74" customHeight="1">
      <c r="A11" s="23" t="inlineStr">
        <is>
          <t>Chiến lược chung ngắn hạn 2026–2027</t>
        </is>
      </c>
      <c r="B11" s="11" t="inlineStr">
        <is>
          <t>Tận dụng EVFTA/UKVFTA giảm thuế; đạt ASC/hữu cơ; vào Hà Lan/Đức trước; khởi động dự án gỡ thẻ vàng IUU; chuẩn hóa truy xuất cho EUDR.</t>
        </is>
      </c>
      <c r="C11" s="11" t="inlineStr">
        <is>
          <t>Giữ thị phần tôm/cá tra chế biến; đẩy dừa/nước dừa &amp; trái cây sấy; tối ưu hồ sơ CBPG; lập kho &amp; pháp nhân/đại diện tại Mỹ; đăng ký FDA/FSVP.</t>
        </is>
      </c>
    </row>
    <row r="12" ht="74" customHeight="1">
      <c r="A12" s="23" t="inlineStr">
        <is>
          <t>Chiến lược trung hạn 2028–2030</t>
        </is>
      </c>
      <c r="B12" s="11" t="inlineStr">
        <is>
          <t>Xây thương hiệu bền vững &amp; hữu cơ; tuân thủ EUDR/CBAM; tăng value-added; hợp đồng chuỗi siêu thị dài hạn; đa dạng nước thành viên EU.</t>
        </is>
      </c>
      <c r="C12" s="11" t="inlineStr">
        <is>
          <t>Đa dạng SP value-added né CBPG; xây thương hiệu nước dừa &amp; trái cây sấy Việt; mở rộng trái cây chiếu xạ (bưởi, dừa); phân phối tại chỗ &amp; D2C.</t>
        </is>
      </c>
    </row>
    <row r="13" ht="74" customHeight="1">
      <c r="A13" s="23" t="inlineStr">
        <is>
          <t>Hội chợ trọng điểm</t>
        </is>
      </c>
      <c r="B13" s="11" t="inlineStr">
        <is>
          <t>Fruit Logistica (Berlin), Anuga (Cologne), SIAL Paris, Seafood Expo Global (Barcelona), Biofach (hữu cơ).</t>
        </is>
      </c>
      <c r="C13" s="11" t="inlineStr">
        <is>
          <t>Seafood Expo North America (Boston), Sweets &amp; Snacks Expo (Chicago), PLMA Private Label (Chicago), Natural Products Expo West, Winter Fancy Food.</t>
        </is>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4"/>
  <sheetViews>
    <sheetView showGridLines="0"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s>
  <sheetData>
    <row r="1" ht="34" customHeight="1">
      <c r="A1" s="1" t="inlineStr">
        <is>
          <t>KIM NGẠCH XUẤT KHẨU &amp; BIỂU ĐỒ (ước tính định hướng, tỷ USD)</t>
        </is>
      </c>
    </row>
    <row r="2" ht="18" customHeight="1">
      <c r="A2" s="2" t="inlineStr">
        <is>
          <t>Nguồn tổng hợp: VASEP, Bộ NN&amp;PTNT, Tổng cục Hải quan, ITC Trademap — số liệu định hướng, cần cập nhật theo báo cáo chính thức</t>
        </is>
      </c>
    </row>
    <row r="3" ht="22" customHeight="1">
      <c r="A3" s="52" t="inlineStr">
        <is>
          <t>1 · Kim ngạch trái cây/rau quả chủ lực theo nhóm (tỷ USD)</t>
        </is>
      </c>
    </row>
    <row r="4">
      <c r="A4" s="24" t="inlineStr">
        <is>
          <t>Nhóm hàng</t>
        </is>
      </c>
      <c r="B4" s="24" t="inlineStr">
        <is>
          <t>2023</t>
        </is>
      </c>
      <c r="C4" s="24" t="inlineStr">
        <is>
          <t>2024</t>
        </is>
      </c>
      <c r="D4" s="24" t="inlineStr">
        <is>
          <t>2025 (ước)</t>
        </is>
      </c>
    </row>
    <row r="5">
      <c r="A5" s="53" t="inlineStr">
        <is>
          <t>Sầu riêng</t>
        </is>
      </c>
      <c r="B5" s="54" t="n">
        <v>2.2</v>
      </c>
      <c r="C5" s="54" t="n">
        <v>3.3</v>
      </c>
      <c r="D5" s="54" t="n">
        <v>3.6</v>
      </c>
    </row>
    <row r="6">
      <c r="A6" s="55" t="inlineStr">
        <is>
          <t>Dừa (gồm chế biến)</t>
        </is>
      </c>
      <c r="B6" s="54" t="n">
        <v>0.65</v>
      </c>
      <c r="C6" s="54" t="n">
        <v>0.8</v>
      </c>
      <c r="D6" s="54" t="n">
        <v>1</v>
      </c>
    </row>
    <row r="7">
      <c r="A7" s="53" t="inlineStr">
        <is>
          <t>Thanh long</t>
        </is>
      </c>
      <c r="B7" s="54" t="n">
        <v>0.65</v>
      </c>
      <c r="C7" s="54" t="n">
        <v>0.55</v>
      </c>
      <c r="D7" s="54" t="n">
        <v>0.5</v>
      </c>
    </row>
    <row r="8">
      <c r="A8" s="55" t="inlineStr">
        <is>
          <t>Chuối</t>
        </is>
      </c>
      <c r="B8" s="54" t="n">
        <v>0.24</v>
      </c>
      <c r="C8" s="54" t="n">
        <v>0.3</v>
      </c>
      <c r="D8" s="54" t="n">
        <v>0.34</v>
      </c>
    </row>
    <row r="9">
      <c r="A9" s="53" t="inlineStr">
        <is>
          <t>Xoài</t>
        </is>
      </c>
      <c r="B9" s="54" t="n">
        <v>0.2</v>
      </c>
      <c r="C9" s="54" t="n">
        <v>0.25</v>
      </c>
      <c r="D9" s="54" t="n">
        <v>0.28</v>
      </c>
    </row>
    <row r="10">
      <c r="A10" s="55" t="inlineStr">
        <is>
          <t>Chanh dây</t>
        </is>
      </c>
      <c r="B10" s="54" t="n">
        <v>0.16</v>
      </c>
      <c r="C10" s="54" t="n">
        <v>0.2</v>
      </c>
      <c r="D10" s="54" t="n">
        <v>0.23</v>
      </c>
    </row>
    <row r="11">
      <c r="A11" s="53" t="inlineStr">
        <is>
          <t>Trái cây sấy</t>
        </is>
      </c>
      <c r="B11" s="54" t="n">
        <v>0.18</v>
      </c>
      <c r="C11" s="54" t="n">
        <v>0.24</v>
      </c>
      <c r="D11" s="54" t="n">
        <v>0.3</v>
      </c>
    </row>
    <row r="29" ht="22" customHeight="1">
      <c r="A29" s="56" t="inlineStr">
        <is>
          <t>2 · Kim ngạch thủy sản chủ lực theo nhóm (tỷ USD)</t>
        </is>
      </c>
    </row>
    <row r="30">
      <c r="A30" s="57" t="inlineStr">
        <is>
          <t>Nhóm hàng</t>
        </is>
      </c>
      <c r="B30" s="57" t="inlineStr">
        <is>
          <t>2023</t>
        </is>
      </c>
      <c r="C30" s="57" t="inlineStr">
        <is>
          <t>2024</t>
        </is>
      </c>
      <c r="D30" s="57" t="inlineStr">
        <is>
          <t>2025 (ước)</t>
        </is>
      </c>
    </row>
    <row r="31">
      <c r="A31" s="58" t="inlineStr">
        <is>
          <t>Tôm (thẻ + sú)</t>
        </is>
      </c>
      <c r="B31" s="54" t="n">
        <v>3.45</v>
      </c>
      <c r="C31" s="54" t="n">
        <v>3.95</v>
      </c>
      <c r="D31" s="54" t="n">
        <v>4.3</v>
      </c>
    </row>
    <row r="32">
      <c r="A32" s="59" t="inlineStr">
        <is>
          <t>Cá tra</t>
        </is>
      </c>
      <c r="B32" s="54" t="n">
        <v>1.8</v>
      </c>
      <c r="C32" s="54" t="n">
        <v>2</v>
      </c>
      <c r="D32" s="54" t="n">
        <v>2.1</v>
      </c>
    </row>
    <row r="33">
      <c r="A33" s="58" t="inlineStr">
        <is>
          <t>Cá ngừ</t>
        </is>
      </c>
      <c r="B33" s="54" t="n">
        <v>0.85</v>
      </c>
      <c r="C33" s="54" t="n">
        <v>0.99</v>
      </c>
      <c r="D33" s="54" t="n">
        <v>1.05</v>
      </c>
    </row>
    <row r="34">
      <c r="A34" s="59" t="inlineStr">
        <is>
          <t>Mực &amp; bạch tuộc</t>
        </is>
      </c>
      <c r="B34" s="54" t="n">
        <v>0.66</v>
      </c>
      <c r="C34" s="54" t="n">
        <v>0.66</v>
      </c>
      <c r="D34" s="54" t="n">
        <v>0.7</v>
      </c>
    </row>
    <row r="35">
      <c r="A35" s="58" t="inlineStr">
        <is>
          <t>Cua ghẹ &amp; nhuyễn thể khác</t>
        </is>
      </c>
      <c r="B35" s="54" t="n">
        <v>0.3</v>
      </c>
      <c r="C35" s="54" t="n">
        <v>0.4</v>
      </c>
      <c r="D35" s="54" t="n">
        <v>0.45</v>
      </c>
    </row>
    <row r="53" ht="22" customHeight="1">
      <c r="A53" s="49" t="inlineStr">
        <is>
          <t>3 · Cơ cấu thị trường xuất khẩu 2024 (%)</t>
        </is>
      </c>
    </row>
    <row r="54">
      <c r="A54" s="24" t="inlineStr">
        <is>
          <t>Trái cây – thị trường</t>
        </is>
      </c>
      <c r="B54" s="24" t="inlineStr">
        <is>
          <t>%</t>
        </is>
      </c>
    </row>
    <row r="55">
      <c r="A55" s="60" t="inlineStr">
        <is>
          <t>Trung Quốc</t>
        </is>
      </c>
      <c r="B55" s="61" t="n">
        <v>65</v>
      </c>
    </row>
    <row r="56">
      <c r="A56" s="60" t="inlineStr">
        <is>
          <t>Hoa Kỳ</t>
        </is>
      </c>
      <c r="B56" s="61" t="n">
        <v>5</v>
      </c>
    </row>
    <row r="57">
      <c r="A57" s="60" t="inlineStr">
        <is>
          <t>Hàn Quốc</t>
        </is>
      </c>
      <c r="B57" s="61" t="n">
        <v>5</v>
      </c>
    </row>
    <row r="58">
      <c r="A58" s="60" t="inlineStr">
        <is>
          <t>Thái Lan</t>
        </is>
      </c>
      <c r="B58" s="61" t="n">
        <v>4</v>
      </c>
    </row>
    <row r="59">
      <c r="A59" s="60" t="inlineStr">
        <is>
          <t>Nhật Bản</t>
        </is>
      </c>
      <c r="B59" s="61" t="n">
        <v>3</v>
      </c>
    </row>
    <row r="60">
      <c r="A60" s="60" t="inlineStr">
        <is>
          <t>Hà Lan/EU</t>
        </is>
      </c>
      <c r="B60" s="61" t="n">
        <v>3</v>
      </c>
    </row>
    <row r="61">
      <c r="A61" s="60" t="inlineStr">
        <is>
          <t>Khác</t>
        </is>
      </c>
      <c r="B61" s="61" t="n">
        <v>15</v>
      </c>
    </row>
    <row r="63">
      <c r="A63" s="57" t="inlineStr">
        <is>
          <t>Thủy sản – thị trường</t>
        </is>
      </c>
      <c r="B63" s="57" t="inlineStr">
        <is>
          <t>%</t>
        </is>
      </c>
    </row>
    <row r="64">
      <c r="A64" s="60" t="inlineStr">
        <is>
          <t>Hoa Kỳ</t>
        </is>
      </c>
      <c r="B64" s="61" t="n">
        <v>18</v>
      </c>
    </row>
    <row r="65">
      <c r="A65" s="60" t="inlineStr">
        <is>
          <t>Nhật Bản</t>
        </is>
      </c>
      <c r="B65" s="61" t="n">
        <v>15</v>
      </c>
    </row>
    <row r="66">
      <c r="A66" s="60" t="inlineStr">
        <is>
          <t>Trung Quốc &amp; HK</t>
        </is>
      </c>
      <c r="B66" s="61" t="n">
        <v>17</v>
      </c>
    </row>
    <row r="67">
      <c r="A67" s="60" t="inlineStr">
        <is>
          <t>EU-27</t>
        </is>
      </c>
      <c r="B67" s="61" t="n">
        <v>11</v>
      </c>
    </row>
    <row r="68">
      <c r="A68" s="60" t="inlineStr">
        <is>
          <t>Hàn Quốc</t>
        </is>
      </c>
      <c r="B68" s="61" t="n">
        <v>8</v>
      </c>
    </row>
    <row r="69">
      <c r="A69" s="60" t="inlineStr">
        <is>
          <t>Khác</t>
        </is>
      </c>
      <c r="B69" s="61" t="n">
        <v>31</v>
      </c>
    </row>
    <row r="72" ht="22" customHeight="1">
      <c r="A72" s="49" t="inlineStr">
        <is>
          <t>4 · Quỹ đạo tăng trưởng Trái cây sấy 2025–2030 (triệu USD, ước)</t>
        </is>
      </c>
    </row>
    <row r="73">
      <c r="A73" s="48" t="inlineStr">
        <is>
          <t>Chỉ tiêu</t>
        </is>
      </c>
      <c r="B73" s="48" t="inlineStr">
        <is>
          <t>2025</t>
        </is>
      </c>
      <c r="C73" s="48" t="inlineStr">
        <is>
          <t>2026</t>
        </is>
      </c>
      <c r="D73" s="48" t="inlineStr">
        <is>
          <t>2027</t>
        </is>
      </c>
      <c r="E73" s="48" t="inlineStr">
        <is>
          <t>2028</t>
        </is>
      </c>
      <c r="F73" s="48" t="inlineStr">
        <is>
          <t>2029</t>
        </is>
      </c>
      <c r="G73" s="48" t="inlineStr">
        <is>
          <t>2030</t>
        </is>
      </c>
    </row>
    <row r="74">
      <c r="A74" s="62" t="inlineStr">
        <is>
          <t>Trái cây sấy (triệu USD)</t>
        </is>
      </c>
      <c r="B74" s="61" t="n">
        <v>300</v>
      </c>
      <c r="C74" s="61" t="n">
        <v>360</v>
      </c>
      <c r="D74" s="61" t="n">
        <v>430</v>
      </c>
      <c r="E74" s="61" t="n">
        <v>520</v>
      </c>
      <c r="F74" s="61" t="n">
        <v>620</v>
      </c>
      <c r="G74" s="61" t="n">
        <v>740</v>
      </c>
    </row>
    <row r="92" ht="22" customHeight="1">
      <c r="A92" s="63" t="inlineStr">
        <is>
          <t>5 · Mục tiêu kim ngạch 2 nhóm: 2025 → 2030 (tỷ USD)</t>
        </is>
      </c>
    </row>
    <row r="93">
      <c r="A93" s="64" t="inlineStr">
        <is>
          <t>Nhóm</t>
        </is>
      </c>
      <c r="B93" s="64" t="inlineStr">
        <is>
          <t>2025 (ước)</t>
        </is>
      </c>
      <c r="C93" s="64" t="inlineStr">
        <is>
          <t>2030 (mục tiêu)</t>
        </is>
      </c>
    </row>
    <row r="94">
      <c r="A94" s="65" t="inlineStr">
        <is>
          <t>Trái cây / rau quả</t>
        </is>
      </c>
      <c r="B94" s="66" t="n">
        <v>8</v>
      </c>
      <c r="C94" s="66" t="n">
        <v>14</v>
      </c>
    </row>
    <row r="95">
      <c r="A95" s="65" t="inlineStr">
        <is>
          <t>Thủy sản</t>
        </is>
      </c>
      <c r="B95" s="66" t="n">
        <v>10.5</v>
      </c>
      <c r="C95" s="66" t="n">
        <v>15</v>
      </c>
    </row>
    <row r="104" ht="42" customHeight="1">
      <c r="A104" s="67" t="inlineStr">
        <is>
          <t>⚠ Ghi chú: Toàn bộ số liệu là ƯỚC TÍNH ĐỊNH HƯỚNG tổng hợp từ VASEP, Bộ NN&amp;PTNT, Tổng cục Hải quan, ITC Trademap và xu hướng ngành đến 2026. Kim ngạch dừa gồm cả sản phẩm chế biến. Doanh nghiệp cần đối chiếu số liệu chính thức theo mã HS 8–10 số trước khi ra quyết định.</t>
        </is>
      </c>
    </row>
  </sheetData>
  <mergeCells count="8">
    <mergeCell ref="A1:G1"/>
    <mergeCell ref="A3:G3"/>
    <mergeCell ref="A53:G53"/>
    <mergeCell ref="A92:G92"/>
    <mergeCell ref="A2:G2"/>
    <mergeCell ref="A72:G72"/>
    <mergeCell ref="A29:G29"/>
    <mergeCell ref="A104:G104"/>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12" customWidth="1" min="1" max="1"/>
    <col width="22" customWidth="1" min="2" max="2"/>
    <col width="30" customWidth="1" min="3" max="3"/>
    <col width="22" customWidth="1" min="4" max="4"/>
    <col width="26" customWidth="1" min="5" max="5"/>
    <col width="30" customWidth="1" min="6" max="6"/>
  </cols>
  <sheetData>
    <row r="1" ht="34" customHeight="1">
      <c r="A1" s="17" t="inlineStr">
        <is>
          <t>DANH MỤC BUYER MỤC TIÊU — TRÁI CÂY SẤY (EU &amp; HOA KỲ)</t>
        </is>
      </c>
    </row>
    <row r="2" ht="18" customHeight="1">
      <c r="A2" s="18" t="inlineStr">
        <is>
          <t>Kênh &amp; đối tác tiêu biểu để nghiên cứu/tiếp cận — KHÔNG phải xác nhận đã mua hàng VN; tự xác minh liên hệ &amp; nhu cầu hiện tại</t>
        </is>
      </c>
    </row>
    <row r="3" ht="34" customHeight="1">
      <c r="A3" s="19" t="inlineStr">
        <is>
          <t>Thị trường</t>
        </is>
      </c>
      <c r="B3" s="19" t="inlineStr">
        <is>
          <t>Kênh</t>
        </is>
      </c>
      <c r="C3" s="19" t="inlineStr">
        <is>
          <t>Doanh nghiệp / chuỗi tiêu biểu</t>
        </is>
      </c>
      <c r="D3" s="19" t="inlineStr">
        <is>
          <t>Loại hình</t>
        </is>
      </c>
      <c r="E3" s="19" t="inlineStr">
        <is>
          <t>Nhóm SP quan tâm</t>
        </is>
      </c>
      <c r="F3" s="19" t="inlineStr">
        <is>
          <t>Cách tiếp cận</t>
        </is>
      </c>
    </row>
    <row r="4" ht="56" customHeight="1">
      <c r="A4" s="53" t="inlineStr">
        <is>
          <t>EU</t>
        </is>
      </c>
      <c r="B4" s="9" t="inlineStr">
        <is>
          <t>Importer / Trader chuyên</t>
        </is>
      </c>
      <c r="C4" s="39" t="inlineStr">
        <is>
          <t>Catz International (Rotterdam, NL) · Community Foods (UK) · Voicevale · Global Trading &amp; Agency</t>
        </is>
      </c>
      <c r="D4" s="9" t="inlineStr">
        <is>
          <t>Nhà nhập khẩu &amp; phân phối dried fruit/nuts</t>
        </is>
      </c>
      <c r="E4" s="9" t="inlineStr">
        <is>
          <t>Xoài sấy dẻo, chuối sấy, dừa sấy, dứa sấy, FD</t>
        </is>
      </c>
      <c r="F4" s="9" t="inlineStr">
        <is>
          <t>Gặp tại Anuga/SIAL/Fruit Logistica; chào mẫu + bảng giá FOB + chứng nhận BRCGS</t>
        </is>
      </c>
    </row>
    <row r="5" ht="56" customHeight="1">
      <c r="A5" s="55" t="inlineStr">
        <is>
          <t>EU</t>
        </is>
      </c>
      <c r="B5" s="11" t="inlineStr">
        <is>
          <t>Nguyên liệu hữu cơ (organic)</t>
        </is>
      </c>
      <c r="C5" s="42" t="inlineStr">
        <is>
          <t>Tradin Organic (NL) · Alnatura/dennree (DE) · Rapunzel (DE)</t>
        </is>
      </c>
      <c r="D5" s="11" t="inlineStr">
        <is>
          <t>Nhập &amp; phân phối organic ingredient</t>
        </is>
      </c>
      <c r="E5" s="11" t="inlineStr">
        <is>
          <t>SP hữu cơ: xoài/dừa/chuối sấy không đường</t>
        </is>
      </c>
      <c r="F5" s="11" t="inlineStr">
        <is>
          <t>Cần chứng nhận EU Organic; dự Biofach (Nuremberg)</t>
        </is>
      </c>
    </row>
    <row r="6" ht="56" customHeight="1">
      <c r="A6" s="53" t="inlineStr">
        <is>
          <t>EU</t>
        </is>
      </c>
      <c r="B6" s="9" t="inlineStr">
        <is>
          <t>Brand / private-label snack</t>
        </is>
      </c>
      <c r="C6" s="39" t="inlineStr">
        <is>
          <t>Seeberger (DE) · Besana (IT) · Farmer's Snack (DE)</t>
        </is>
      </c>
      <c r="D6" s="9" t="inlineStr">
        <is>
          <t>Nhà sản xuất/đóng gói thương hiệu &amp; OEM</t>
        </is>
      </c>
      <c r="E6" s="9" t="inlineStr">
        <is>
          <t>Sấy dẻo, mix trái cây sấy, coconut chips</t>
        </is>
      </c>
      <c r="F6" s="9" t="inlineStr">
        <is>
          <t>Chào gia công OEM/bulk; đáp ứng quy cách bao bì riêng</t>
        </is>
      </c>
    </row>
    <row r="7" ht="56" customHeight="1">
      <c r="A7" s="55" t="inlineStr">
        <is>
          <t>EU</t>
        </is>
      </c>
      <c r="B7" s="11" t="inlineStr">
        <is>
          <t>Chuỗi bán lẻ (private label)</t>
        </is>
      </c>
      <c r="C7" s="42" t="inlineStr">
        <is>
          <t>Lidl · Aldi · REWE (DE) · Albert Heijn/Ahold (NL) · Carrefour (FR) · Tesco/Sainsbury's (UK)</t>
        </is>
      </c>
      <c r="D7" s="11" t="inlineStr">
        <is>
          <t>Đại siêu thị – nhãn hàng riêng</t>
        </is>
      </c>
      <c r="E7" s="11" t="inlineStr">
        <is>
          <t>Sấy dẻo &amp; mix đóng gói bán lẻ, snack healthy</t>
        </is>
      </c>
      <c r="F7" s="11" t="inlineStr">
        <is>
          <t>Qua importer trung gian; đạt IFS/BRCGS, audit nhà máy, giá cạnh tranh</t>
        </is>
      </c>
    </row>
    <row r="8" ht="56" customHeight="1">
      <c r="A8" s="53" t="inlineStr">
        <is>
          <t>EU</t>
        </is>
      </c>
      <c r="B8" s="9" t="inlineStr">
        <is>
          <t>Health-food / E-commerce</t>
        </is>
      </c>
      <c r="C8" s="39" t="inlineStr">
        <is>
          <t>Holland &amp; Barrett (UK) · Bio c'Bon/Naturalia (FR) · Amazon EU</t>
        </is>
      </c>
      <c r="D8" s="9" t="inlineStr">
        <is>
          <t>Chuỗi thực phẩm sức khỏe &amp; sàn TMĐT</t>
        </is>
      </c>
      <c r="E8" s="9" t="inlineStr">
        <is>
          <t>FD cao cấp, sấy không đường, clean-label</t>
        </is>
      </c>
      <c r="F8" s="9" t="inlineStr">
        <is>
          <t>Định vị 'no-added-sugar/tropical'; FBA Amazon; kể chuyện xuất xứ</t>
        </is>
      </c>
    </row>
    <row r="9" ht="56" customHeight="1">
      <c r="A9" s="70" t="inlineStr">
        <is>
          <t>Hoa Kỳ</t>
        </is>
      </c>
      <c r="B9" s="11" t="inlineStr">
        <is>
          <t>Importer / Distributor</t>
        </is>
      </c>
      <c r="C9" s="42" t="inlineStr">
        <is>
          <t>Sunrise Commodities (NJ) · Sunridge Farms · SunOpta</t>
        </is>
      </c>
      <c r="D9" s="11" t="inlineStr">
        <is>
          <t>Nhập &amp; phân phối bulk dried fruit</t>
        </is>
      </c>
      <c r="E9" s="11" t="inlineStr">
        <is>
          <t>Xoài/chuối/dừa/dứa sấy, FD, bulk ingredient</t>
        </is>
      </c>
      <c r="F9" s="11" t="inlineStr">
        <is>
          <t>Dự Winter Fancy Food/Sweets&amp;Snacks; cần FDA reg + FSVP</t>
        </is>
      </c>
    </row>
    <row r="10" ht="56" customHeight="1">
      <c r="A10" s="71" t="inlineStr">
        <is>
          <t>Hoa Kỳ</t>
        </is>
      </c>
      <c r="B10" s="9" t="inlineStr">
        <is>
          <t>Brand FD / snack</t>
        </is>
      </c>
      <c r="C10" s="39" t="inlineStr">
        <is>
          <t>Crispy Green 'Crispy Fruit' · Made in Nature · Bare (PepsiCo) · Sensible Foods · Karen's Naturals</t>
        </is>
      </c>
      <c r="D10" s="9" t="inlineStr">
        <is>
          <t>Thương hiệu freeze-dried &amp; baked fruit</t>
        </is>
      </c>
      <c r="E10" s="9" t="inlineStr">
        <is>
          <t>FD xoài/dứa/chuối/sầu riêng; baked chips</t>
        </is>
      </c>
      <c r="F10" s="9" t="inlineStr">
        <is>
          <t>Chào cung ứng nguyên liệu FD/OEM; ổn định chất lượng &amp; sản lượng</t>
        </is>
      </c>
    </row>
    <row r="11" ht="56" customHeight="1">
      <c r="A11" s="70" t="inlineStr">
        <is>
          <t>Hoa Kỳ</t>
        </is>
      </c>
      <c r="B11" s="11" t="inlineStr">
        <is>
          <t>Banana / tropical snack</t>
        </is>
      </c>
      <c r="C11" s="42" t="inlineStr">
        <is>
          <t>Barnana · Solely · Nature's Garden</t>
        </is>
      </c>
      <c r="D11" s="11" t="inlineStr">
        <is>
          <t>Thương hiệu snack chuối/nhiệt đới</t>
        </is>
      </c>
      <c r="E11" s="11" t="inlineStr">
        <is>
          <t>Chuối sấy, dừa chips, mix nhiệt đới</t>
        </is>
      </c>
      <c r="F11" s="11" t="inlineStr">
        <is>
          <t>Cung ứng nguyên liệu/OEM; nhấn organic &amp; sustainable</t>
        </is>
      </c>
    </row>
    <row r="12" ht="56" customHeight="1">
      <c r="A12" s="71" t="inlineStr">
        <is>
          <t>Hoa Kỳ</t>
        </is>
      </c>
      <c r="B12" s="9" t="inlineStr">
        <is>
          <t>Ethnic-Asian distributor</t>
        </is>
      </c>
      <c r="C12" s="39" t="inlineStr">
        <is>
          <t>JFC International · Wismettac Asian Foods · Nishimoto</t>
        </is>
      </c>
      <c r="D12" s="9" t="inlineStr">
        <is>
          <t>Phân phối thực phẩm châu Á</t>
        </is>
      </c>
      <c r="E12" s="9" t="inlineStr">
        <is>
          <t>Mít sấy VF, sầu riêng FD, me, thanh long sấy</t>
        </is>
      </c>
      <c r="F12" s="9" t="inlineStr">
        <is>
          <t>Bàn đạp cộng đồng gốc Á → mở rộng mainstream</t>
        </is>
      </c>
    </row>
    <row r="13" ht="56" customHeight="1">
      <c r="A13" s="70" t="inlineStr">
        <is>
          <t>Hoa Kỳ</t>
        </is>
      </c>
      <c r="B13" s="11" t="inlineStr">
        <is>
          <t>Retail (private label)</t>
        </is>
      </c>
      <c r="C13" s="42" t="inlineStr">
        <is>
          <t>Costco (Kirkland) · Trader Joe's · Whole Foods (365) · Sprouts · Walmart · Amazon</t>
        </is>
      </c>
      <c r="D13" s="11" t="inlineStr">
        <is>
          <t>Đại siêu thị &amp; TMĐT – nhãn riêng</t>
        </is>
      </c>
      <c r="E13" s="11" t="inlineStr">
        <is>
          <t>Mix trái cây sấy, coconut chips, FD</t>
        </is>
      </c>
      <c r="F13" s="11" t="inlineStr">
        <is>
          <t>Qua importer/broker; SQF/BRC, khối lượng lớn, hợp đồng chặt &amp; phạt</t>
        </is>
      </c>
    </row>
    <row r="15" ht="42" customHeight="1">
      <c r="A15" s="67" t="inlineStr">
        <is>
          <t>⚠ Danh sách mang tính THAM KHẢO ĐỊNH HƯỚNG: các doanh nghiệp/chuỗi nêu trên hoạt động trong ngành trái cây sấy/snack/thực phẩm châu Á — KHÔNG khẳng định họ đang mua hàng Việt Nam. Doanh nghiệp cần tự xác minh thông tin liên hệ, chính sách mua hàng và nhu cầu hiện tại trước khi tiếp cận.</t>
        </is>
      </c>
    </row>
  </sheetData>
  <mergeCells count="3">
    <mergeCell ref="A2:F2"/>
    <mergeCell ref="A1:F1"/>
    <mergeCell ref="A15:F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30" customWidth="1" min="1" max="1"/>
    <col width="16" customWidth="1" min="2" max="2"/>
    <col width="16" customWidth="1" min="3" max="3"/>
    <col width="10" customWidth="1" min="4" max="4"/>
    <col width="22" customWidth="1" min="5" max="5"/>
    <col width="12" customWidth="1" min="6" max="6"/>
    <col width="12" customWidth="1" min="7" max="7"/>
  </cols>
  <sheetData>
    <row r="1" ht="34" customHeight="1">
      <c r="A1" s="17" t="inlineStr">
        <is>
          <t>GIÁ FOB THAM KHẢO &amp; CƠ CẤU CHI PHÍ — TRÁI CÂY SẤY</t>
        </is>
      </c>
    </row>
    <row r="2" ht="18" customHeight="1">
      <c r="A2" s="18" t="inlineStr">
        <is>
          <t>Khoảng giá định hướng (USD/kg, FOB VN) — dao động theo nguyên liệu, quy cách, sản lượng, chứng nhận, tỷ giá &amp; mùa vụ</t>
        </is>
      </c>
    </row>
    <row r="3" ht="22" customHeight="1">
      <c r="A3" s="52" t="inlineStr">
        <is>
          <t>A · Giá FOB tham khảo theo dòng sản phẩm (USD/kg)</t>
        </is>
      </c>
    </row>
    <row r="4" ht="24" customHeight="1">
      <c r="A4" s="7" t="inlineStr">
        <is>
          <t>Dòng sản phẩm</t>
        </is>
      </c>
      <c r="B4" s="7" t="inlineStr">
        <is>
          <t>FOB thấp</t>
        </is>
      </c>
      <c r="C4" s="7" t="inlineStr">
        <is>
          <t>FOB cao</t>
        </is>
      </c>
      <c r="D4" s="7" t="inlineStr">
        <is>
          <t>Đơn vị</t>
        </is>
      </c>
      <c r="E4" s="7" t="inlineStr">
        <is>
          <t>Ghi chú</t>
        </is>
      </c>
    </row>
    <row r="5" ht="26" customHeight="1">
      <c r="A5" s="39" t="inlineStr">
        <is>
          <t>Chuối sấy (dẻo/giòn)</t>
        </is>
      </c>
      <c r="B5" s="72" t="n">
        <v>1.8</v>
      </c>
      <c r="C5" s="72" t="n">
        <v>3</v>
      </c>
      <c r="D5" s="9" t="inlineStr">
        <is>
          <t>USD/kg</t>
        </is>
      </c>
      <c r="E5" s="9" t="inlineStr">
        <is>
          <t>Đại trà, biên thấp; dừa/chuối vùng NL lớn</t>
        </is>
      </c>
    </row>
    <row r="6" ht="26" customHeight="1">
      <c r="A6" s="42" t="inlineStr">
        <is>
          <t>Xoài sấy dẻo</t>
        </is>
      </c>
      <c r="B6" s="73" t="n">
        <v>4.5</v>
      </c>
      <c r="C6" s="73" t="n">
        <v>7</v>
      </c>
      <c r="D6" s="11" t="inlineStr">
        <is>
          <t>USD/kg</t>
        </is>
      </c>
      <c r="E6" s="11" t="inlineStr">
        <is>
          <t>Cạnh tranh Philippines/Thái; loại không đường giá cao hơn</t>
        </is>
      </c>
    </row>
    <row r="7" ht="26" customHeight="1">
      <c r="A7" s="39" t="inlineStr">
        <is>
          <t>Thanh long sấy</t>
        </is>
      </c>
      <c r="B7" s="72" t="n">
        <v>6</v>
      </c>
      <c r="C7" s="72" t="n">
        <v>10</v>
      </c>
      <c r="D7" s="9" t="inlineStr">
        <is>
          <t>USD/kg</t>
        </is>
      </c>
      <c r="E7" s="9" t="inlineStr">
        <is>
          <t>Đầu ra cho thanh long dội chợ</t>
        </is>
      </c>
    </row>
    <row r="8" ht="26" customHeight="1">
      <c r="A8" s="42" t="inlineStr">
        <is>
          <t>Dừa sấy (chips nướng)</t>
        </is>
      </c>
      <c r="B8" s="73" t="n">
        <v>3.5</v>
      </c>
      <c r="C8" s="73" t="n">
        <v>6</v>
      </c>
      <c r="D8" s="11" t="inlineStr">
        <is>
          <t>USD/kg</t>
        </is>
      </c>
      <c r="E8" s="11" t="inlineStr">
        <is>
          <t>Bến Tre lợi thế; organic cao hơn</t>
        </is>
      </c>
    </row>
    <row r="9" ht="26" customHeight="1">
      <c r="A9" s="39" t="inlineStr">
        <is>
          <t>Dừa nạo sấy (desiccated)</t>
        </is>
      </c>
      <c r="B9" s="72" t="n">
        <v>1.5</v>
      </c>
      <c r="C9" s="72" t="n">
        <v>2.5</v>
      </c>
      <c r="D9" s="9" t="inlineStr">
        <is>
          <t>USD/kg</t>
        </is>
      </c>
      <c r="E9" s="9" t="inlineStr">
        <is>
          <t>Nguyên liệu công nghiệp, khối lượng lớn</t>
        </is>
      </c>
    </row>
    <row r="10" ht="26" customHeight="1">
      <c r="A10" s="42" t="inlineStr">
        <is>
          <t>Mít sấy chân không (VF)</t>
        </is>
      </c>
      <c r="B10" s="73" t="n">
        <v>8</v>
      </c>
      <c r="C10" s="73" t="n">
        <v>14</v>
      </c>
      <c r="D10" s="11" t="inlineStr">
        <is>
          <t>USD/kg</t>
        </is>
      </c>
      <c r="E10" s="11" t="inlineStr">
        <is>
          <t>Mít VN lợi thế; biên tốt</t>
        </is>
      </c>
    </row>
    <row r="11" ht="26" customHeight="1">
      <c r="A11" s="39" t="inlineStr">
        <is>
          <t>Mix rau củ quả sấy VF</t>
        </is>
      </c>
      <c r="B11" s="72" t="n">
        <v>7</v>
      </c>
      <c r="C11" s="72" t="n">
        <v>12</v>
      </c>
      <c r="D11" s="9" t="inlineStr">
        <is>
          <t>USD/kg</t>
        </is>
      </c>
      <c r="E11" s="9" t="inlineStr">
        <is>
          <t>Snack healthy; tùy công thức</t>
        </is>
      </c>
    </row>
    <row r="12" ht="26" customHeight="1">
      <c r="A12" s="42" t="inlineStr">
        <is>
          <t>FD xoài (thăng hoa)</t>
        </is>
      </c>
      <c r="B12" s="73" t="n">
        <v>18</v>
      </c>
      <c r="C12" s="73" t="n">
        <v>30</v>
      </c>
      <c r="D12" s="11" t="inlineStr">
        <is>
          <t>USD/kg</t>
        </is>
      </c>
      <c r="E12" s="11" t="inlineStr">
        <is>
          <t>Cao cấp; giữ dinh dưỡng</t>
        </is>
      </c>
    </row>
    <row r="13" ht="26" customHeight="1">
      <c r="A13" s="39" t="inlineStr">
        <is>
          <t>FD sầu riêng (thăng hoa)</t>
        </is>
      </c>
      <c r="B13" s="72" t="n">
        <v>28</v>
      </c>
      <c r="C13" s="72" t="n">
        <v>45</v>
      </c>
      <c r="D13" s="9" t="inlineStr">
        <is>
          <t>USD/kg</t>
        </is>
      </c>
      <c r="E13" s="9" t="inlineStr">
        <is>
          <t>Độc đáo, biên rất cao; cầu Mỹ/TQ</t>
        </is>
      </c>
    </row>
    <row r="14" ht="26" customHeight="1">
      <c r="A14" s="42" t="inlineStr">
        <is>
          <t>FD mix / dâu / chanh dây</t>
        </is>
      </c>
      <c r="B14" s="73" t="n">
        <v>20</v>
      </c>
      <c r="C14" s="73" t="n">
        <v>35</v>
      </c>
      <c r="D14" s="11" t="inlineStr">
        <is>
          <t>USD/kg</t>
        </is>
      </c>
      <c r="E14" s="11" t="inlineStr">
        <is>
          <t>Nguyên liệu cho ngũ cốc/bakery cao cấp</t>
        </is>
      </c>
    </row>
    <row r="17" ht="22" customHeight="1">
      <c r="A17" s="49" t="inlineStr">
        <is>
          <t>B · Cơ cấu chi phí điển hình — Xoài sấy dẻo (% giá thành FOB)</t>
        </is>
      </c>
    </row>
    <row r="18">
      <c r="A18" s="48" t="inlineStr">
        <is>
          <t>Khoản mục chi phí</t>
        </is>
      </c>
      <c r="B18" s="48" t="inlineStr">
        <is>
          <t>% giá thành</t>
        </is>
      </c>
      <c r="C18" s="48" t="inlineStr">
        <is>
          <t>Ghi chú</t>
        </is>
      </c>
      <c r="D18" s="68" t="n"/>
      <c r="E18" s="68" t="n"/>
      <c r="F18" s="68" t="n"/>
      <c r="G18" s="69" t="n"/>
    </row>
    <row r="19" ht="24" customHeight="1">
      <c r="A19" s="11" t="inlineStr">
        <is>
          <t>Nguyên liệu tươi (xoài, tỷ lệ ~8–10:1)</t>
        </is>
      </c>
      <c r="B19" s="74" t="n">
        <v>40</v>
      </c>
      <c r="C19" s="11" t="inlineStr">
        <is>
          <t>Khoản lớn nhất; phụ thuộc mùa vụ &amp; giá xoài tươi</t>
        </is>
      </c>
      <c r="D19" s="68" t="n"/>
      <c r="E19" s="68" t="n"/>
      <c r="F19" s="68" t="n"/>
      <c r="G19" s="69" t="n"/>
    </row>
    <row r="20" ht="24" customHeight="1">
      <c r="A20" s="9" t="inlineStr">
        <is>
          <t>Đường / phụ gia / xử lý</t>
        </is>
      </c>
      <c r="B20" s="75" t="n">
        <v>7</v>
      </c>
      <c r="C20" s="9" t="inlineStr">
        <is>
          <t>Loại không đường giảm khoản này nhưng khó chế biến hơn</t>
        </is>
      </c>
      <c r="D20" s="68" t="n"/>
      <c r="E20" s="68" t="n"/>
      <c r="F20" s="68" t="n"/>
      <c r="G20" s="69" t="n"/>
    </row>
    <row r="21" ht="24" customHeight="1">
      <c r="A21" s="11" t="inlineStr">
        <is>
          <t>Năng lượng sấy</t>
        </is>
      </c>
      <c r="B21" s="74" t="n">
        <v>12</v>
      </c>
      <c r="C21" s="11" t="inlineStr">
        <is>
          <t>FD &amp; VF cao hơn nhiều so với sấy dẻo</t>
        </is>
      </c>
      <c r="D21" s="68" t="n"/>
      <c r="E21" s="68" t="n"/>
      <c r="F21" s="68" t="n"/>
      <c r="G21" s="69" t="n"/>
    </row>
    <row r="22" ht="24" customHeight="1">
      <c r="A22" s="9" t="inlineStr">
        <is>
          <t>Nhân công</t>
        </is>
      </c>
      <c r="B22" s="75" t="n">
        <v>10</v>
      </c>
      <c r="C22" s="9" t="inlineStr">
        <is>
          <t>Sơ chế, cắt, phân loại, đóng gói</t>
        </is>
      </c>
      <c r="D22" s="68" t="n"/>
      <c r="E22" s="68" t="n"/>
      <c r="F22" s="68" t="n"/>
      <c r="G22" s="69" t="n"/>
    </row>
    <row r="23" ht="24" customHeight="1">
      <c r="A23" s="11" t="inlineStr">
        <is>
          <t>Bao bì</t>
        </is>
      </c>
      <c r="B23" s="74" t="n">
        <v>11</v>
      </c>
      <c r="C23" s="11" t="inlineStr">
        <is>
          <t>Túi zip/hút chân không/nitrogen; bán lẻ cao hơn bulk</t>
        </is>
      </c>
      <c r="D23" s="68" t="n"/>
      <c r="E23" s="68" t="n"/>
      <c r="F23" s="68" t="n"/>
      <c r="G23" s="69" t="n"/>
    </row>
    <row r="24" ht="24" customHeight="1">
      <c r="A24" s="9" t="inlineStr">
        <is>
          <t>Chứng nhận, QA, kiểm nghiệm</t>
        </is>
      </c>
      <c r="B24" s="75" t="n">
        <v>3</v>
      </c>
      <c r="C24" s="9" t="inlineStr">
        <is>
          <t>BRCGS/FSSC, test đường/SO2/vi sinh/kim loại</t>
        </is>
      </c>
      <c r="D24" s="68" t="n"/>
      <c r="E24" s="68" t="n"/>
      <c r="F24" s="68" t="n"/>
      <c r="G24" s="69" t="n"/>
    </row>
    <row r="25" ht="24" customHeight="1">
      <c r="A25" s="11" t="inlineStr">
        <is>
          <t>Logistics nội địa &amp; phí XK</t>
        </is>
      </c>
      <c r="B25" s="74" t="n">
        <v>5</v>
      </c>
      <c r="C25" s="11" t="inlineStr">
        <is>
          <t>Vận chuyển, thủ tục, cảng</t>
        </is>
      </c>
      <c r="D25" s="68" t="n"/>
      <c r="E25" s="68" t="n"/>
      <c r="F25" s="68" t="n"/>
      <c r="G25" s="69" t="n"/>
    </row>
    <row r="26" ht="24" customHeight="1">
      <c r="A26" s="9" t="inlineStr">
        <is>
          <t>Hao hụt &amp; khấu hao thiết bị</t>
        </is>
      </c>
      <c r="B26" s="75" t="n">
        <v>6</v>
      </c>
      <c r="C26" s="9" t="inlineStr">
        <is>
          <t>FD/VF khấu hao máy cao hơn</t>
        </is>
      </c>
      <c r="D26" s="68" t="n"/>
      <c r="E26" s="68" t="n"/>
      <c r="F26" s="68" t="n"/>
      <c r="G26" s="69" t="n"/>
    </row>
    <row r="27" ht="24" customHeight="1">
      <c r="A27" s="55" t="inlineStr">
        <is>
          <t>Lợi nhuận</t>
        </is>
      </c>
      <c r="B27" s="74" t="n">
        <v>6</v>
      </c>
      <c r="C27" s="11" t="inlineStr">
        <is>
          <t>Tùy phân khúc &amp; thương hiệu; FD biên cao hơn</t>
        </is>
      </c>
      <c r="D27" s="68" t="n"/>
      <c r="E27" s="68" t="n"/>
      <c r="F27" s="68" t="n"/>
      <c r="G27" s="69" t="n"/>
    </row>
    <row r="29" ht="52" customHeight="1">
      <c r="A29" s="67" t="inlineStr">
        <is>
          <t>⚠ Giá &amp; cơ cấu chi phí là ƯỚC TÍNH ĐỊNH HƯỚNG (không phải báo giá). Thực tế dao động theo: giá nguyên liệu tươi theo mùa, tỷ lệ sấy, loại có/không đường, quy cách bao bì (bulk vs bán lẻ), yêu cầu chứng nhận, sản lượng đơn hàng, tỷ giá và cước biển. FD (thăng hoa) có tỷ trọng năng lượng &amp; khấu hao thiết bị cao hơn hẳn sấy dẻo.</t>
        </is>
      </c>
    </row>
  </sheetData>
  <mergeCells count="15">
    <mergeCell ref="C21:G21"/>
    <mergeCell ref="A1:G1"/>
    <mergeCell ref="A17:G17"/>
    <mergeCell ref="C20:G20"/>
    <mergeCell ref="A3:G3"/>
    <mergeCell ref="C24:G24"/>
    <mergeCell ref="C25:G25"/>
    <mergeCell ref="C27:G27"/>
    <mergeCell ref="C19:G19"/>
    <mergeCell ref="A2:G2"/>
    <mergeCell ref="A29:G29"/>
    <mergeCell ref="C23:G23"/>
    <mergeCell ref="C22:G22"/>
    <mergeCell ref="C18:G18"/>
    <mergeCell ref="C26:G26"/>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F39"/>
  <sheetViews>
    <sheetView showGridLines="0" workbookViewId="0">
      <pane ySplit="3" topLeftCell="A4" activePane="bottomLeft" state="frozen"/>
      <selection pane="bottomLeft" activeCell="A1" sqref="A1"/>
    </sheetView>
  </sheetViews>
  <sheetFormatPr baseColWidth="8" defaultRowHeight="15"/>
  <cols>
    <col width="6" customWidth="1" min="1" max="1"/>
    <col width="8" customWidth="1" min="2" max="2"/>
    <col width="40" customWidth="1" min="3" max="3"/>
    <col width="14" customWidth="1" min="4" max="4"/>
    <col width="26" customWidth="1" min="5" max="5"/>
    <col width="34" customWidth="1" min="6" max="6"/>
  </cols>
  <sheetData>
    <row r="1" ht="34" customHeight="1">
      <c r="A1" s="1" t="inlineStr">
        <is>
          <t>CHECKLIST HỒ SƠ XUẤT KHẨU TRÁI CÂY SẤY — EU &amp; HOA KỲ</t>
        </is>
      </c>
    </row>
    <row r="2" ht="18" customHeight="1">
      <c r="A2" s="2" t="inlineStr">
        <is>
          <t>Từng bước: nền tảng nhà máy &amp; sản phẩm → EU (BRCGS/EUDR) → Hoa Kỳ (FDA/FSVP) → chứng từ lô hàng. Cột ✓ để tự đánh dấu tiến độ.</t>
        </is>
      </c>
    </row>
    <row r="3" ht="26" customHeight="1">
      <c r="A3" s="22" t="inlineStr">
        <is>
          <t>✓</t>
        </is>
      </c>
      <c r="B3" s="22" t="inlineStr">
        <is>
          <t>STT</t>
        </is>
      </c>
      <c r="C3" s="22" t="inlineStr">
        <is>
          <t>Hạng mục</t>
        </is>
      </c>
      <c r="D3" s="22" t="inlineStr">
        <is>
          <t>Mức độ</t>
        </is>
      </c>
      <c r="E3" s="22" t="inlineStr">
        <is>
          <t>Cơ quan / Tiêu chuẩn</t>
        </is>
      </c>
      <c r="F3" s="22" t="inlineStr">
        <is>
          <t>Ghi chú</t>
        </is>
      </c>
    </row>
    <row r="4" ht="22" customHeight="1">
      <c r="A4" s="52" t="inlineStr">
        <is>
          <t>A · NỀN TẢNG NHÀ MÁY &amp; SẢN PHẨM (áp dụng cho mọi thị trường)</t>
        </is>
      </c>
    </row>
    <row r="5" ht="34" customHeight="1">
      <c r="A5" s="76" t="inlineStr">
        <is>
          <t>☐</t>
        </is>
      </c>
      <c r="B5" s="77" t="n">
        <v>1</v>
      </c>
      <c r="C5" s="9" t="inlineStr">
        <is>
          <t>Đăng ký kinh doanh, mã số thuế XNK; đăng ký doanh nghiệp XK với hải quan</t>
        </is>
      </c>
      <c r="D5" s="78" t="inlineStr">
        <is>
          <t>Bắt buộc</t>
        </is>
      </c>
      <c r="E5" s="39" t="inlineStr">
        <is>
          <t>Hải quan / Sở KHĐT</t>
        </is>
      </c>
      <c r="F5" s="9" t="inlineStr">
        <is>
          <t>Điều kiện tiên quyết</t>
        </is>
      </c>
    </row>
    <row r="6" ht="34" customHeight="1">
      <c r="A6" s="79" t="inlineStr">
        <is>
          <t>☐</t>
        </is>
      </c>
      <c r="B6" s="80" t="n">
        <v>2</v>
      </c>
      <c r="C6" s="11" t="inlineStr">
        <is>
          <t>Hệ thống HACCP vận hành + đạt chứng nhận GFSI (BRCGS Food / FSSC 22000 / IFS)</t>
        </is>
      </c>
      <c r="D6" s="81" t="inlineStr">
        <is>
          <t>Bắt buộc*</t>
        </is>
      </c>
      <c r="E6" s="42" t="inlineStr">
        <is>
          <t>GFSI (BRCGS/FSSC/IFS)</t>
        </is>
      </c>
      <c r="F6" s="11" t="inlineStr">
        <is>
          <t>*Bắt buộc để vào chuỗi retail EU/Mỹ; audit nhà máy hằng năm</t>
        </is>
      </c>
    </row>
    <row r="7" ht="34" customHeight="1">
      <c r="A7" s="76" t="inlineStr">
        <is>
          <t>☐</t>
        </is>
      </c>
      <c r="B7" s="77" t="n">
        <v>3</v>
      </c>
      <c r="C7" s="9" t="inlineStr">
        <is>
          <t>Hợp đồng &amp; truy xuất vùng nguyên liệu (mã vùng trồng, nhật ký canh tác)</t>
        </is>
      </c>
      <c r="D7" s="78" t="inlineStr">
        <is>
          <t>Bắt buộc</t>
        </is>
      </c>
      <c r="E7" s="39" t="inlineStr">
        <is>
          <t>Nội bộ / GlobalGAP</t>
        </is>
      </c>
      <c r="F7" s="9" t="inlineStr">
        <is>
          <t>Nền tảng cho EUDR &amp; FSVP</t>
        </is>
      </c>
    </row>
    <row r="8" ht="34" customHeight="1">
      <c r="A8" s="79" t="inlineStr">
        <is>
          <t>☐</t>
        </is>
      </c>
      <c r="B8" s="80" t="n">
        <v>4</v>
      </c>
      <c r="C8" s="11" t="inlineStr">
        <is>
          <t>Kiểm nghiệm: vi sinh (Salmonella, E.coli, nấm mốc), aflatoxin, kim loại nặng, dư lượng BVTV, SO2, đường, độ ẩm/aw</t>
        </is>
      </c>
      <c r="D8" s="81" t="inlineStr">
        <is>
          <t>Bắt buộc</t>
        </is>
      </c>
      <c r="E8" s="42" t="inlineStr">
        <is>
          <t>Phòng lab công nhận ISO 17025</t>
        </is>
      </c>
      <c r="F8" s="11" t="inlineStr">
        <is>
          <t>COA mỗi lô hàng</t>
        </is>
      </c>
    </row>
    <row r="9" ht="34" customHeight="1">
      <c r="A9" s="76" t="inlineStr">
        <is>
          <t>☐</t>
        </is>
      </c>
      <c r="B9" s="77" t="n">
        <v>5</v>
      </c>
      <c r="C9" s="9" t="inlineStr">
        <is>
          <t>Nhãn mác song ngữ: thành phần, dinh dưỡng, phụ gia (E-number), dị ứng, lô, HSD, xuất xứ, bảo quản</t>
        </is>
      </c>
      <c r="D9" s="78" t="inlineStr">
        <is>
          <t>Bắt buộc</t>
        </is>
      </c>
      <c r="E9" s="39" t="inlineStr">
        <is>
          <t>Theo quy định nước NK</t>
        </is>
      </c>
      <c r="F9" s="9" t="inlineStr">
        <is>
          <t>Duyệt nhãn trước khi in</t>
        </is>
      </c>
    </row>
    <row r="10" ht="34" customHeight="1">
      <c r="A10" s="79" t="inlineStr">
        <is>
          <t>☐</t>
        </is>
      </c>
      <c r="B10" s="80" t="n">
        <v>6</v>
      </c>
      <c r="C10" s="11" t="inlineStr">
        <is>
          <t>Bao bì food-grade chống ẩm + Declaration of Compliance vật liệu tiếp xúc thực phẩm</t>
        </is>
      </c>
      <c r="D10" s="81" t="inlineStr">
        <is>
          <t>Bắt buộc</t>
        </is>
      </c>
      <c r="E10" s="42" t="inlineStr">
        <is>
          <t>EU 10/2011 / FDA 21 CFR 174-190</t>
        </is>
      </c>
      <c r="F10" s="11" t="inlineStr">
        <is>
          <t>Túi hút chân không/nitrogen cho FD</t>
        </is>
      </c>
    </row>
    <row r="11" ht="34" customHeight="1">
      <c r="A11" s="76" t="inlineStr">
        <is>
          <t>☐</t>
        </is>
      </c>
      <c r="B11" s="77" t="n">
        <v>7</v>
      </c>
      <c r="C11" s="9" t="inlineStr">
        <is>
          <t>Test shelf-life / độ ổn định sản phẩm</t>
        </is>
      </c>
      <c r="D11" s="82" t="inlineStr">
        <is>
          <t>Nên có</t>
        </is>
      </c>
      <c r="E11" s="39" t="inlineStr">
        <is>
          <t>Nội bộ / lab</t>
        </is>
      </c>
      <c r="F11" s="9" t="inlineStr">
        <is>
          <t>Hỗ trợ công bố HSD</t>
        </is>
      </c>
    </row>
    <row r="12" ht="22" customHeight="1">
      <c r="A12" s="83" t="inlineStr">
        <is>
          <t>B · YÊU CẦU RIÊNG THỊ TRƯỜNG EU (EU-27 + UK)</t>
        </is>
      </c>
    </row>
    <row r="13" ht="34" customHeight="1">
      <c r="A13" s="79" t="inlineStr">
        <is>
          <t>☐</t>
        </is>
      </c>
      <c r="B13" s="80" t="n">
        <v>8</v>
      </c>
      <c r="C13" s="11" t="inlineStr">
        <is>
          <t>Chứng nhận GFSI (ưu tiên BRCGS Food hoặc IFS Food) — audit nhà máy</t>
        </is>
      </c>
      <c r="D13" s="81" t="inlineStr">
        <is>
          <t>Bắt buộc*</t>
        </is>
      </c>
      <c r="E13" s="42" t="inlineStr">
        <is>
          <t>BRCGS / IFS</t>
        </is>
      </c>
      <c r="F13" s="11" t="inlineStr">
        <is>
          <t>*Chuỗi bán lẻ EU yêu cầu</t>
        </is>
      </c>
    </row>
    <row r="14" ht="34" customHeight="1">
      <c r="A14" s="76" t="inlineStr">
        <is>
          <t>☐</t>
        </is>
      </c>
      <c r="B14" s="77" t="n">
        <v>9</v>
      </c>
      <c r="C14" s="9" t="inlineStr">
        <is>
          <t>Tuân thủ phụ gia &amp; giới hạn SO2/sulfite (E220)</t>
        </is>
      </c>
      <c r="D14" s="78" t="inlineStr">
        <is>
          <t>Bắt buộc</t>
        </is>
      </c>
      <c r="E14" s="39" t="inlineStr">
        <is>
          <t>Reg (EC) 1333/2008</t>
        </is>
      </c>
      <c r="F14" s="9" t="inlineStr">
        <is>
          <t>Kiểm soát chặt loại sấy dẻo có xử lý</t>
        </is>
      </c>
    </row>
    <row r="15" ht="34" customHeight="1">
      <c r="A15" s="79" t="inlineStr">
        <is>
          <t>☐</t>
        </is>
      </c>
      <c r="B15" s="80" t="n">
        <v>10</v>
      </c>
      <c r="C15" s="11" t="inlineStr">
        <is>
          <t>Giới hạn dư lượng MRL &amp; chất nhiễm bẩn (aflatoxin, kim loại nặng)</t>
        </is>
      </c>
      <c r="D15" s="81" t="inlineStr">
        <is>
          <t>Bắt buộc</t>
        </is>
      </c>
      <c r="E15" s="42" t="inlineStr">
        <is>
          <t>Reg 396/2005 &amp; Reg 2023/915</t>
        </is>
      </c>
      <c r="F15" s="11" t="inlineStr">
        <is>
          <t>Test theo lô</t>
        </is>
      </c>
    </row>
    <row r="16" ht="34" customHeight="1">
      <c r="A16" s="76" t="inlineStr">
        <is>
          <t>☐</t>
        </is>
      </c>
      <c r="B16" s="77" t="n">
        <v>11</v>
      </c>
      <c r="C16" s="9" t="inlineStr">
        <is>
          <t>EUDR — không phá rừng: due diligence + tọa độ GPS vùng trồng + truy xuất</t>
        </is>
      </c>
      <c r="D16" s="84" t="inlineStr">
        <is>
          <t>Kiểm tra phạm vi</t>
        </is>
      </c>
      <c r="E16" s="39" t="inlineStr">
        <is>
          <t>Reg (EU) 2023/1115</t>
        </is>
      </c>
      <c r="F16" s="9" t="inlineStr">
        <is>
          <t>XÁC MINH mặt hàng có thuộc phạm vi; chuẩn bị dữ liệu truy xuất sẵn</t>
        </is>
      </c>
    </row>
    <row r="17" ht="34" customHeight="1">
      <c r="A17" s="79" t="inlineStr">
        <is>
          <t>☐</t>
        </is>
      </c>
      <c r="B17" s="80" t="n">
        <v>12</v>
      </c>
      <c r="C17" s="11" t="inlineStr">
        <is>
          <t>Ghi nhãn thực phẩm EU (FIC): dị ứng in đậm, bảng dinh dưỡng, QUID</t>
        </is>
      </c>
      <c r="D17" s="81" t="inlineStr">
        <is>
          <t>Bắt buộc</t>
        </is>
      </c>
      <c r="E17" s="42" t="inlineStr">
        <is>
          <t>Reg (EU) 1169/2011</t>
        </is>
      </c>
      <c r="F17" s="11" t="inlineStr">
        <is>
          <t>Ngôn ngữ nước tiêu thụ</t>
        </is>
      </c>
    </row>
    <row r="18" ht="34" customHeight="1">
      <c r="A18" s="76" t="inlineStr">
        <is>
          <t>☐</t>
        </is>
      </c>
      <c r="B18" s="77" t="n">
        <v>13</v>
      </c>
      <c r="C18" s="9" t="inlineStr">
        <is>
          <t>Nếu hữu cơ: chứng nhận EU Organic + COI qua hệ thống TRACES</t>
        </is>
      </c>
      <c r="D18" s="84" t="inlineStr">
        <is>
          <t>Nếu áp dụng</t>
        </is>
      </c>
      <c r="E18" s="39" t="inlineStr">
        <is>
          <t>Reg (EU) 2018/848</t>
        </is>
      </c>
      <c r="F18" s="9" t="inlineStr">
        <is>
          <t>Bắt buộc cho hàng dán nhãn organic</t>
        </is>
      </c>
    </row>
    <row r="19" ht="34" customHeight="1">
      <c r="A19" s="79" t="inlineStr">
        <is>
          <t>☐</t>
        </is>
      </c>
      <c r="B19" s="80" t="n">
        <v>14</v>
      </c>
      <c r="C19" s="11" t="inlineStr">
        <is>
          <t>Xác định Importer of Record EU chịu trách nhiệm tuân thủ</t>
        </is>
      </c>
      <c r="D19" s="81" t="inlineStr">
        <is>
          <t>Bắt buộc</t>
        </is>
      </c>
      <c r="E19" s="42" t="inlineStr">
        <is>
          <t>Nhà NK EU</t>
        </is>
      </c>
      <c r="F19" s="11" t="inlineStr">
        <is>
          <t>Phối hợp hồ sơ</t>
        </is>
      </c>
    </row>
    <row r="20" ht="22" customHeight="1">
      <c r="A20" s="85" t="inlineStr">
        <is>
          <t>C · YÊU CẦU RIÊNG THỊ TRƯỜNG HOA KỲ</t>
        </is>
      </c>
    </row>
    <row r="21" ht="34" customHeight="1">
      <c r="A21" s="76" t="inlineStr">
        <is>
          <t>☐</t>
        </is>
      </c>
      <c r="B21" s="77" t="n">
        <v>15</v>
      </c>
      <c r="C21" s="9" t="inlineStr">
        <is>
          <t>FDA Food Facility Registration + chỉ định US Agent (gia hạn 2 năm/lần)</t>
        </is>
      </c>
      <c r="D21" s="78" t="inlineStr">
        <is>
          <t>Bắt buộc</t>
        </is>
      </c>
      <c r="E21" s="39" t="inlineStr">
        <is>
          <t>FDA (FSMA/Bioterrorism Act)</t>
        </is>
      </c>
      <c r="F21" s="9" t="inlineStr">
        <is>
          <t>Có số đăng ký cơ sở</t>
        </is>
      </c>
    </row>
    <row r="22" ht="34" customHeight="1">
      <c r="A22" s="79" t="inlineStr">
        <is>
          <t>☐</t>
        </is>
      </c>
      <c r="B22" s="80" t="n">
        <v>16</v>
      </c>
      <c r="C22" s="11" t="inlineStr">
        <is>
          <t>FSVP — Foreign Supplier Verification Program (nhà NK Mỹ thực hiện, nhà XK cung cấp hồ sơ)</t>
        </is>
      </c>
      <c r="D22" s="81" t="inlineStr">
        <is>
          <t>Bắt buộc</t>
        </is>
      </c>
      <c r="E22" s="42" t="inlineStr">
        <is>
          <t>FDA FSMA</t>
        </is>
      </c>
      <c r="F22" s="11" t="inlineStr">
        <is>
          <t>Cung cấp HACCP/COA/audit cho importer</t>
        </is>
      </c>
    </row>
    <row r="23" ht="34" customHeight="1">
      <c r="A23" s="76" t="inlineStr">
        <is>
          <t>☐</t>
        </is>
      </c>
      <c r="B23" s="77" t="n">
        <v>17</v>
      </c>
      <c r="C23" s="9" t="inlineStr">
        <is>
          <t>Preventive Controls + có PCQI (Preventive Controls Qualified Individual)</t>
        </is>
      </c>
      <c r="D23" s="78" t="inlineStr">
        <is>
          <t>Bắt buộc</t>
        </is>
      </c>
      <c r="E23" s="39" t="inlineStr">
        <is>
          <t>FDA 21 CFR 117</t>
        </is>
      </c>
      <c r="F23" s="9" t="inlineStr">
        <is>
          <t>Kế hoạch kiểm soát phòng ngừa</t>
        </is>
      </c>
    </row>
    <row r="24" ht="34" customHeight="1">
      <c r="A24" s="79" t="inlineStr">
        <is>
          <t>☐</t>
        </is>
      </c>
      <c r="B24" s="80" t="n">
        <v>18</v>
      </c>
      <c r="C24" s="11" t="inlineStr">
        <is>
          <t>Prior Notice cho từng lô trước khi hàng đến cảng Mỹ</t>
        </is>
      </c>
      <c r="D24" s="81" t="inlineStr">
        <is>
          <t>Bắt buộc/lô</t>
        </is>
      </c>
      <c r="E24" s="42" t="inlineStr">
        <is>
          <t>FDA</t>
        </is>
      </c>
      <c r="F24" s="11" t="inlineStr">
        <is>
          <t>Nộp qua hệ thống FDA/hải quan</t>
        </is>
      </c>
    </row>
    <row r="25" ht="34" customHeight="1">
      <c r="A25" s="76" t="inlineStr">
        <is>
          <t>☐</t>
        </is>
      </c>
      <c r="B25" s="77" t="n">
        <v>19</v>
      </c>
      <c r="C25" s="9" t="inlineStr">
        <is>
          <t>Ghi nhãn FDA: Nutrition Facts (format mới), thành phần, dị ứng (Big 9), COOL</t>
        </is>
      </c>
      <c r="D25" s="78" t="inlineStr">
        <is>
          <t>Bắt buộc</t>
        </is>
      </c>
      <c r="E25" s="39" t="inlineStr">
        <is>
          <t>FDA 21 CFR 101 / FALCPA</t>
        </is>
      </c>
      <c r="F25" s="9" t="inlineStr">
        <is>
          <t>Khai 'contains sulfites' nếu SO2 ≥10ppm</t>
        </is>
      </c>
    </row>
    <row r="26" ht="34" customHeight="1">
      <c r="A26" s="79" t="inlineStr">
        <is>
          <t>☐</t>
        </is>
      </c>
      <c r="B26" s="80" t="n">
        <v>20</v>
      </c>
      <c r="C26" s="11" t="inlineStr">
        <is>
          <t>Giới hạn aflatoxin &amp; dư lượng BVTV theo dung sai FDA/EPA</t>
        </is>
      </c>
      <c r="D26" s="81" t="inlineStr">
        <is>
          <t>Bắt buộc</t>
        </is>
      </c>
      <c r="E26" s="42" t="inlineStr">
        <is>
          <t>FDA / EPA tolerance</t>
        </is>
      </c>
      <c r="F26" s="11" t="inlineStr">
        <is>
          <t>Test theo lô; tránh Import Alert</t>
        </is>
      </c>
    </row>
    <row r="27" ht="34" customHeight="1">
      <c r="A27" s="76" t="inlineStr">
        <is>
          <t>☐</t>
        </is>
      </c>
      <c r="B27" s="77" t="n">
        <v>21</v>
      </c>
      <c r="C27" s="9" t="inlineStr">
        <is>
          <t>Nếu hữu cơ: chứng nhận USDA Organic (NOP)</t>
        </is>
      </c>
      <c r="D27" s="84" t="inlineStr">
        <is>
          <t>Nếu áp dụng</t>
        </is>
      </c>
      <c r="E27" s="39" t="inlineStr">
        <is>
          <t>USDA NOP</t>
        </is>
      </c>
      <c r="F27" s="9" t="inlineStr">
        <is>
          <t>Qua tổ chức chứng nhận được công nhận</t>
        </is>
      </c>
    </row>
    <row r="28" ht="22" customHeight="1">
      <c r="A28" s="49" t="inlineStr">
        <is>
          <t>D · CHỨNG TỪ LÔ HÀNG (chuẩn bị cho mỗi lô xuất)</t>
        </is>
      </c>
    </row>
    <row r="29" ht="34" customHeight="1">
      <c r="A29" s="79" t="inlineStr">
        <is>
          <t>☐</t>
        </is>
      </c>
      <c r="B29" s="80" t="n">
        <v>22</v>
      </c>
      <c r="C29" s="11" t="inlineStr">
        <is>
          <t>Commercial Invoice + Packing List</t>
        </is>
      </c>
      <c r="D29" s="81" t="inlineStr">
        <is>
          <t>Bắt buộc</t>
        </is>
      </c>
      <c r="E29" s="42" t="inlineStr">
        <is>
          <t>Doanh nghiệp</t>
        </is>
      </c>
      <c r="F29" s="11" t="inlineStr">
        <is>
          <t>Khớp thông tin lô</t>
        </is>
      </c>
    </row>
    <row r="30" ht="34" customHeight="1">
      <c r="A30" s="76" t="inlineStr">
        <is>
          <t>☐</t>
        </is>
      </c>
      <c r="B30" s="77" t="n">
        <v>23</v>
      </c>
      <c r="C30" s="9" t="inlineStr">
        <is>
          <t>Bill of Lading / Airway Bill</t>
        </is>
      </c>
      <c r="D30" s="78" t="inlineStr">
        <is>
          <t>Bắt buộc</t>
        </is>
      </c>
      <c r="E30" s="39" t="inlineStr">
        <is>
          <t>Hãng tàu / hàng không</t>
        </is>
      </c>
      <c r="F30" s="9" t="inlineStr"/>
    </row>
    <row r="31" ht="34" customHeight="1">
      <c r="A31" s="79" t="inlineStr">
        <is>
          <t>☐</t>
        </is>
      </c>
      <c r="B31" s="80" t="n">
        <v>24</v>
      </c>
      <c r="C31" s="11" t="inlineStr">
        <is>
          <t>Certificate of Origin — C/O mẫu EUR.1 (EVFTA/UKVFTA)</t>
        </is>
      </c>
      <c r="D31" s="81" t="inlineStr">
        <is>
          <t>Bắt buộc*</t>
        </is>
      </c>
      <c r="E31" s="42" t="inlineStr">
        <is>
          <t>VCCI / Bộ Công Thương</t>
        </is>
      </c>
      <c r="F31" s="11" t="inlineStr">
        <is>
          <t>*Để hưởng ưu đãi thuế FTA tại EU/UK</t>
        </is>
      </c>
    </row>
    <row r="32" ht="34" customHeight="1">
      <c r="A32" s="76" t="inlineStr">
        <is>
          <t>☐</t>
        </is>
      </c>
      <c r="B32" s="77" t="n">
        <v>25</v>
      </c>
      <c r="C32" s="9" t="inlineStr">
        <is>
          <t>Certificate of Analysis (COA) mỗi lô</t>
        </is>
      </c>
      <c r="D32" s="78" t="inlineStr">
        <is>
          <t>Bắt buộc</t>
        </is>
      </c>
      <c r="E32" s="39" t="inlineStr">
        <is>
          <t>Lab công nhận</t>
        </is>
      </c>
      <c r="F32" s="9" t="inlineStr">
        <is>
          <t>Vi sinh, hóa lý, SO2, kim loại nặng</t>
        </is>
      </c>
    </row>
    <row r="33" ht="34" customHeight="1">
      <c r="A33" s="79" t="inlineStr">
        <is>
          <t>☐</t>
        </is>
      </c>
      <c r="B33" s="80" t="n">
        <v>26</v>
      </c>
      <c r="C33" s="11" t="inlineStr">
        <is>
          <t>Health / Free Sale Certificate (nếu buyer/nước yêu cầu)</t>
        </is>
      </c>
      <c r="D33" s="86" t="inlineStr">
        <is>
          <t>Nếu yêu cầu</t>
        </is>
      </c>
      <c r="E33" s="42" t="inlineStr">
        <is>
          <t>Cơ quan thẩm quyền</t>
        </is>
      </c>
      <c r="F33" s="11" t="inlineStr"/>
    </row>
    <row r="34" ht="34" customHeight="1">
      <c r="A34" s="76" t="inlineStr">
        <is>
          <t>☐</t>
        </is>
      </c>
      <c r="B34" s="77" t="n">
        <v>27</v>
      </c>
      <c r="C34" s="9" t="inlineStr">
        <is>
          <t>Phytosanitary Certificate (nếu loại SP/nước yêu cầu)</t>
        </is>
      </c>
      <c r="D34" s="84" t="inlineStr">
        <is>
          <t>Nếu yêu cầu</t>
        </is>
      </c>
      <c r="E34" s="39" t="inlineStr">
        <is>
          <t>Cục BVTV</t>
        </is>
      </c>
      <c r="F34" s="9" t="inlineStr">
        <is>
          <t>Sấy chế biến thường không cần — xác nhận từng loại</t>
        </is>
      </c>
    </row>
    <row r="35" ht="34" customHeight="1">
      <c r="A35" s="79" t="inlineStr">
        <is>
          <t>☐</t>
        </is>
      </c>
      <c r="B35" s="80" t="n">
        <v>28</v>
      </c>
      <c r="C35" s="11" t="inlineStr">
        <is>
          <t>Chứng nhận Halal (nếu đồng thời đi Trung Đông)</t>
        </is>
      </c>
      <c r="D35" s="86" t="inlineStr">
        <is>
          <t>Nếu áp dụng</t>
        </is>
      </c>
      <c r="E35" s="42" t="inlineStr">
        <is>
          <t>Tổ chức Halal</t>
        </is>
      </c>
      <c r="F35" s="11" t="inlineStr"/>
    </row>
    <row r="36" ht="34" customHeight="1">
      <c r="A36" s="76" t="inlineStr">
        <is>
          <t>☐</t>
        </is>
      </c>
      <c r="B36" s="77" t="n">
        <v>29</v>
      </c>
      <c r="C36" s="9" t="inlineStr">
        <is>
          <t>ISPM 15 cho pallet gỗ (hun trùng/xử lý nhiệt) + Fumigation Cert</t>
        </is>
      </c>
      <c r="D36" s="84" t="inlineStr">
        <is>
          <t>Nếu dùng pallet gỗ</t>
        </is>
      </c>
      <c r="E36" s="39" t="inlineStr">
        <is>
          <t>ISPM 15</t>
        </is>
      </c>
      <c r="F36" s="9" t="inlineStr">
        <is>
          <t>Đóng dấu IPPC trên pallet</t>
        </is>
      </c>
    </row>
    <row r="37" ht="34" customHeight="1">
      <c r="A37" s="79" t="inlineStr">
        <is>
          <t>☐</t>
        </is>
      </c>
      <c r="B37" s="80" t="n">
        <v>30</v>
      </c>
      <c r="C37" s="11" t="inlineStr">
        <is>
          <t>Insurance Certificate (nếu điều kiện CIF/CIP)</t>
        </is>
      </c>
      <c r="D37" s="86" t="inlineStr">
        <is>
          <t>Nếu áp dụng</t>
        </is>
      </c>
      <c r="E37" s="42" t="inlineStr">
        <is>
          <t>Bảo hiểm</t>
        </is>
      </c>
      <c r="F37" s="11" t="inlineStr"/>
    </row>
    <row r="39" ht="42" customHeight="1">
      <c r="A39" s="67" t="inlineStr">
        <is>
          <t>⚠ Checklist mang tính hướng dẫn tổng quát đến 2026. Quy định EU/FDA cập nhật thường xuyên (đặc biệt phạm vi &amp; mốc thời gian EUDR). Doanh nghiệp cần xác minh yêu cầu mới nhất theo từng mã HS/loại sản phẩm/thị trường và phối hợp với nhà nhập khẩu + tổ chức chứng nhận trước khi xuất.</t>
        </is>
      </c>
    </row>
  </sheetData>
  <mergeCells count="7">
    <mergeCell ref="A2:F2"/>
    <mergeCell ref="A28:F28"/>
    <mergeCell ref="A1:F1"/>
    <mergeCell ref="A12:F12"/>
    <mergeCell ref="A4:F4"/>
    <mergeCell ref="A20:F20"/>
    <mergeCell ref="A39:F3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30" customWidth="1" min="3" max="3"/>
    <col width="26" customWidth="1" min="4" max="4"/>
    <col width="26" customWidth="1" min="5" max="5"/>
    <col width="16" customWidth="1" min="6" max="6"/>
  </cols>
  <sheetData>
    <row r="1" ht="34" customHeight="1">
      <c r="A1" s="17" t="inlineStr">
        <is>
          <t>CẨM NANG THỰC THI XUẤT KHẨU — STEP BY STEP (6 giai đoạn · 18 bước)</t>
        </is>
      </c>
    </row>
    <row r="2" ht="18" customHeight="1">
      <c r="A2" s="18" t="inlineStr">
        <is>
          <t>Từ chuẩn bị nền tảng → tìm khách → tuân thủ lô hàng → logistics &amp; thông quan → thanh toán → nâng cấp. Cột 'Tham chiếu' chỉ sheet hỗ trợ.</t>
        </is>
      </c>
    </row>
    <row r="3" ht="26" customHeight="1">
      <c r="A3" s="22" t="inlineStr">
        <is>
          <t>Bước</t>
        </is>
      </c>
      <c r="B3" s="22" t="inlineStr">
        <is>
          <t>Công việc chính</t>
        </is>
      </c>
      <c r="C3" s="22" t="inlineStr">
        <is>
          <t>Đầu ra / Kết quả</t>
        </is>
      </c>
      <c r="D3" s="22" t="inlineStr">
        <is>
          <t>Chứng từ / Công cụ</t>
        </is>
      </c>
      <c r="E3" s="22" t="inlineStr">
        <is>
          <t>Tham chiếu tài liệu</t>
        </is>
      </c>
      <c r="F3" s="22" t="inlineStr">
        <is>
          <t>Thời gian ước tính</t>
        </is>
      </c>
    </row>
    <row r="4" ht="22" customHeight="1">
      <c r="A4" s="52" t="inlineStr">
        <is>
          <t>GIAI ĐOẠN 0 · CHUẨN BỊ NỀN TẢNG (trước khi bán) — 3–9 tháng</t>
        </is>
      </c>
    </row>
    <row r="5" ht="34" customHeight="1">
      <c r="A5" s="90" t="n">
        <v>1</v>
      </c>
      <c r="B5" s="39" t="inlineStr">
        <is>
          <t>Chọn sản phẩm &amp; thị trường mục tiêu</t>
        </is>
      </c>
      <c r="C5" s="9" t="inlineStr">
        <is>
          <t>Danh mục SP × thị trường ưu tiên</t>
        </is>
      </c>
      <c r="D5" s="9" t="inlineStr">
        <is>
          <t>Ma trận ưu tiên</t>
        </is>
      </c>
      <c r="E5" s="58" t="inlineStr">
        <is>
          <t>Sheet 1,2,4,5,7</t>
        </is>
      </c>
      <c r="F5" s="91" t="inlineStr">
        <is>
          <t>1–2 tuần</t>
        </is>
      </c>
    </row>
    <row r="6" ht="34" customHeight="1">
      <c r="A6" s="92" t="n">
        <v>2</v>
      </c>
      <c r="B6" s="42" t="inlineStr">
        <is>
          <t>Chuẩn hóa vùng nguyên liệu &amp; năng lực SX</t>
        </is>
      </c>
      <c r="C6" s="11" t="inlineStr">
        <is>
          <t>Mã vùng trồng, công suất, chất lượng ổn định</t>
        </is>
      </c>
      <c r="D6" s="11" t="inlineStr">
        <is>
          <t>Hợp đồng vùng NL, nhật ký</t>
        </is>
      </c>
      <c r="E6" s="59" t="inlineStr">
        <is>
          <t>Sheet 3</t>
        </is>
      </c>
      <c r="F6" s="93" t="inlineStr">
        <is>
          <t>1–3 tháng</t>
        </is>
      </c>
    </row>
    <row r="7" ht="34" customHeight="1">
      <c r="A7" s="90" t="n">
        <v>3</v>
      </c>
      <c r="B7" s="39" t="inlineStr">
        <is>
          <t>Đạt chứng nhận nền tảng</t>
        </is>
      </c>
      <c r="C7" s="9" t="inlineStr">
        <is>
          <t>HACCP → BRCGS/FSSC 22000 (ASC/BAP thủy sản)</t>
        </is>
      </c>
      <c r="D7" s="9" t="inlineStr">
        <is>
          <t>Chứng chỉ GFSI, báo cáo audit</t>
        </is>
      </c>
      <c r="E7" s="58" t="inlineStr">
        <is>
          <t>Sheet 12 (mục A,B,C)</t>
        </is>
      </c>
      <c r="F7" s="91" t="inlineStr">
        <is>
          <t>3–6 tháng</t>
        </is>
      </c>
    </row>
    <row r="8" ht="34" customHeight="1">
      <c r="A8" s="92" t="n">
        <v>4</v>
      </c>
      <c r="B8" s="42" t="inlineStr">
        <is>
          <t>Hoàn thiện mẫu, bao bì, nhãn, hồ sơ kỹ thuật</t>
        </is>
      </c>
      <c r="C8" s="11" t="inlineStr">
        <is>
          <t>Sản phẩm mẫu + spec sheet + nhãn duyệt</t>
        </is>
      </c>
      <c r="D8" s="11" t="inlineStr">
        <is>
          <t>Spec sheet, COA mẫu, nhãn</t>
        </is>
      </c>
      <c r="E8" s="59" t="inlineStr">
        <is>
          <t>Sheet 12 (mục A)</t>
        </is>
      </c>
      <c r="F8" s="93" t="inlineStr">
        <is>
          <t>2–6 tuần</t>
        </is>
      </c>
    </row>
    <row r="9" ht="22" customHeight="1">
      <c r="A9" s="83" t="inlineStr">
        <is>
          <t>GIAI ĐOẠN 1 · TÌM &amp; CHỐT KHÁCH (Sales) — 1–4 tháng</t>
        </is>
      </c>
    </row>
    <row r="10" ht="34" customHeight="1">
      <c r="A10" s="90" t="n">
        <v>5</v>
      </c>
      <c r="B10" s="39" t="inlineStr">
        <is>
          <t>Nghiên cứu buyer &amp; định giá</t>
        </is>
      </c>
      <c r="C10" s="9" t="inlineStr">
        <is>
          <t>Danh sách buyer mục tiêu + bảng giá chào</t>
        </is>
      </c>
      <c r="D10" s="9" t="inlineStr">
        <is>
          <t>Danh mục buyer, giá FOB</t>
        </is>
      </c>
      <c r="E10" s="58" t="inlineStr">
        <is>
          <t>Sheet 10,11</t>
        </is>
      </c>
      <c r="F10" s="91" t="inlineStr">
        <is>
          <t>1–2 tuần</t>
        </is>
      </c>
    </row>
    <row r="11" ht="34" customHeight="1">
      <c r="A11" s="92" t="n">
        <v>6</v>
      </c>
      <c r="B11" s="42" t="inlineStr">
        <is>
          <t>Tiếp cận buyer</t>
        </is>
      </c>
      <c r="C11" s="11" t="inlineStr">
        <is>
          <t>Kết nối qua hội chợ / sàn B2B / email-LinkedIn</t>
        </is>
      </c>
      <c r="D11" s="11" t="inlineStr">
        <is>
          <t>Hồ sơ giới thiệu, catalog</t>
        </is>
      </c>
      <c r="E11" s="59" t="inlineStr">
        <is>
          <t>Sheet 8 (hội chợ)</t>
        </is>
      </c>
      <c r="F11" s="93" t="inlineStr">
        <is>
          <t>liên tục</t>
        </is>
      </c>
    </row>
    <row r="12" ht="34" customHeight="1">
      <c r="A12" s="90" t="n">
        <v>7</v>
      </c>
      <c r="B12" s="39" t="inlineStr">
        <is>
          <t>Gửi mẫu &amp; đàm phán</t>
        </is>
      </c>
      <c r="C12" s="9" t="inlineStr">
        <is>
          <t>Chốt giá, Incoterms, thanh toán, MOQ</t>
        </is>
      </c>
      <c r="D12" s="9" t="inlineStr">
        <is>
          <t>Quotation, sample feedback</t>
        </is>
      </c>
      <c r="E12" s="58" t="inlineStr">
        <is>
          <t>Sheet 11</t>
        </is>
      </c>
      <c r="F12" s="91" t="inlineStr">
        <is>
          <t>2–6 tuần</t>
        </is>
      </c>
    </row>
    <row r="13" ht="34" customHeight="1">
      <c r="A13" s="92" t="n">
        <v>8</v>
      </c>
      <c r="B13" s="42" t="inlineStr">
        <is>
          <t>Ký hợp đồng ngoại thương</t>
        </is>
      </c>
      <c r="C13" s="11" t="inlineStr">
        <is>
          <t>Sales Contract / Proforma Invoice (PI)</t>
        </is>
      </c>
      <c r="D13" s="11" t="inlineStr">
        <is>
          <t>Hợp đồng, PI</t>
        </is>
      </c>
      <c r="E13" s="59" t="inlineStr">
        <is>
          <t>—</t>
        </is>
      </c>
      <c r="F13" s="93" t="inlineStr">
        <is>
          <t>1–2 tuần</t>
        </is>
      </c>
    </row>
    <row r="14" ht="22" customHeight="1">
      <c r="A14" s="85" t="inlineStr">
        <is>
          <t>GIAI ĐOẠN 2 · CHUẨN BỊ &amp; TUÂN THỦ LÔ HÀNG — 2–6 tuần/đơn</t>
        </is>
      </c>
    </row>
    <row r="15" ht="34" customHeight="1">
      <c r="A15" s="90" t="n">
        <v>9</v>
      </c>
      <c r="B15" s="39" t="inlineStr">
        <is>
          <t>Chuẩn bị hồ sơ tuân thủ thị trường</t>
        </is>
      </c>
      <c r="C15" s="9" t="inlineStr">
        <is>
          <t>Đáp ứng FDA/FSVP (Mỹ), EUDR/BRCGS (EU)</t>
        </is>
      </c>
      <c r="D15" s="9" t="inlineStr">
        <is>
          <t>Checklist hoàn tất theo lô</t>
        </is>
      </c>
      <c r="E15" s="58" t="inlineStr">
        <is>
          <t>Sheet 12</t>
        </is>
      </c>
      <c r="F15" s="91" t="inlineStr">
        <is>
          <t>1–3 tuần</t>
        </is>
      </c>
    </row>
    <row r="16" ht="34" customHeight="1">
      <c r="A16" s="92" t="n">
        <v>10</v>
      </c>
      <c r="B16" s="42" t="inlineStr">
        <is>
          <t>Sản xuất theo đơn &amp; kiểm soát chất lượng</t>
        </is>
      </c>
      <c r="C16" s="11" t="inlineStr">
        <is>
          <t>Lô hàng đạt spec, QC/COA từng lô</t>
        </is>
      </c>
      <c r="D16" s="11" t="inlineStr">
        <is>
          <t>COA, biên bản QC</t>
        </is>
      </c>
      <c r="E16" s="59" t="inlineStr">
        <is>
          <t>Sheet 12 (mục A)</t>
        </is>
      </c>
      <c r="F16" s="93" t="inlineStr">
        <is>
          <t>1–4 tuần</t>
        </is>
      </c>
    </row>
    <row r="17" ht="34" customHeight="1">
      <c r="A17" s="90" t="n">
        <v>11</v>
      </c>
      <c r="B17" s="39" t="inlineStr">
        <is>
          <t>Đóng gói, ghi nhãn &amp; kiểm nghiệm lô</t>
        </is>
      </c>
      <c r="C17" s="9" t="inlineStr">
        <is>
          <t>Hàng đóng gói đúng quy cách + kết quả test</t>
        </is>
      </c>
      <c r="D17" s="9" t="inlineStr">
        <is>
          <t>Kết quả kiểm nghiệm, ảnh QC</t>
        </is>
      </c>
      <c r="E17" s="58" t="inlineStr">
        <is>
          <t>Sheet 12</t>
        </is>
      </c>
      <c r="F17" s="91" t="inlineStr">
        <is>
          <t>3–7 ngày</t>
        </is>
      </c>
    </row>
    <row r="18" ht="22" customHeight="1">
      <c r="A18" s="94" t="inlineStr">
        <is>
          <t>GIAI ĐOẠN 3 · LOGISTICS &amp; THÔNG QUAN XUẤT — 1–2 tuần</t>
        </is>
      </c>
    </row>
    <row r="19" ht="34" customHeight="1">
      <c r="A19" s="92" t="n">
        <v>12</v>
      </c>
      <c r="B19" s="42" t="inlineStr">
        <is>
          <t>Booking tàu/forwarder &amp; chuẩn bị chứng từ</t>
        </is>
      </c>
      <c r="C19" s="11" t="inlineStr">
        <is>
          <t>Lịch tàu + bộ chứng từ đầy đủ</t>
        </is>
      </c>
      <c r="D19" s="11" t="inlineStr">
        <is>
          <t>Invoice, P/L, B/L, C/O, COA</t>
        </is>
      </c>
      <c r="E19" s="59" t="inlineStr">
        <is>
          <t>Sheet 12 (mục D)</t>
        </is>
      </c>
      <c r="F19" s="93" t="inlineStr">
        <is>
          <t>3–7 ngày</t>
        </is>
      </c>
    </row>
    <row r="20" ht="34" customHeight="1">
      <c r="A20" s="90" t="n">
        <v>13</v>
      </c>
      <c r="B20" s="39" t="inlineStr">
        <is>
          <t>Khai hải quan XK, thông quan, hun trùng</t>
        </is>
      </c>
      <c r="C20" s="9" t="inlineStr">
        <is>
          <t>Tờ khai thông quan; pallet ISPM 15</t>
        </is>
      </c>
      <c r="D20" s="9" t="inlineStr">
        <is>
          <t>Tờ khai HQ, Fumigation cert</t>
        </is>
      </c>
      <c r="E20" s="58" t="inlineStr">
        <is>
          <t>Sheet 12 (mục D)</t>
        </is>
      </c>
      <c r="F20" s="91" t="inlineStr">
        <is>
          <t>2–5 ngày</t>
        </is>
      </c>
    </row>
    <row r="21" ht="34" customHeight="1">
      <c r="A21" s="92" t="n">
        <v>14</v>
      </c>
      <c r="B21" s="42" t="inlineStr">
        <is>
          <t>Giao hàng lên tàu &amp; gửi bộ chứng từ</t>
        </is>
      </c>
      <c r="C21" s="11" t="inlineStr">
        <is>
          <t>Hàng lên tàu (on board); chứng từ tới buyer/NH</t>
        </is>
      </c>
      <c r="D21" s="11" t="inlineStr">
        <is>
          <t>B/L gốc, bộ chứng từ</t>
        </is>
      </c>
      <c r="E21" s="59" t="inlineStr">
        <is>
          <t>—</t>
        </is>
      </c>
      <c r="F21" s="93" t="inlineStr">
        <is>
          <t>1–3 ngày</t>
        </is>
      </c>
    </row>
    <row r="22" ht="22" customHeight="1">
      <c r="A22" s="95" t="inlineStr">
        <is>
          <t>GIAI ĐOẠN 4 · THANH TOÁN &amp; HẬU MÃI — theo điều kiện</t>
        </is>
      </c>
    </row>
    <row r="23" ht="34" customHeight="1">
      <c r="A23" s="90" t="n">
        <v>15</v>
      </c>
      <c r="B23" s="39" t="inlineStr">
        <is>
          <t>Nhận thanh toán &amp; hoàn thuế</t>
        </is>
      </c>
      <c r="C23" s="9" t="inlineStr">
        <is>
          <t>Thu tiền (L/C/TT); hoàn thuế nếu có</t>
        </is>
      </c>
      <c r="D23" s="9" t="inlineStr">
        <is>
          <t>Chứng từ ngân hàng</t>
        </is>
      </c>
      <c r="E23" s="58" t="inlineStr">
        <is>
          <t>—</t>
        </is>
      </c>
      <c r="F23" s="91" t="inlineStr">
        <is>
          <t>theo L/C/TT</t>
        </is>
      </c>
    </row>
    <row r="24" ht="34" customHeight="1">
      <c r="A24" s="92" t="n">
        <v>16</v>
      </c>
      <c r="B24" s="42" t="inlineStr">
        <is>
          <t>Hỗ trợ thông quan nhập &amp; xử lý sự cố</t>
        </is>
      </c>
      <c r="C24" s="11" t="inlineStr">
        <is>
          <t>Buyer thông quan thành công; xử lý khiếu nại</t>
        </is>
      </c>
      <c r="D24" s="11" t="inlineStr">
        <is>
          <t>Biên bản, phản hồi buyer</t>
        </is>
      </c>
      <c r="E24" s="59" t="inlineStr">
        <is>
          <t>Sheet 12</t>
        </is>
      </c>
      <c r="F24" s="93" t="inlineStr">
        <is>
          <t>1–3 tuần</t>
        </is>
      </c>
    </row>
    <row r="25" ht="34" customHeight="1">
      <c r="A25" s="90" t="n">
        <v>17</v>
      </c>
      <c r="B25" s="39" t="inlineStr">
        <is>
          <t>Đánh giá đơn, chăm sóc khách &amp; tái đặt hàng</t>
        </is>
      </c>
      <c r="C25" s="9" t="inlineStr">
        <is>
          <t>Khách hài lòng, đơn lặp lại</t>
        </is>
      </c>
      <c r="D25" s="9" t="inlineStr">
        <is>
          <t>Báo cáo sau bán, hợp đồng mới</t>
        </is>
      </c>
      <c r="E25" s="58" t="inlineStr">
        <is>
          <t>—</t>
        </is>
      </c>
      <c r="F25" s="91" t="inlineStr">
        <is>
          <t>liên tục</t>
        </is>
      </c>
    </row>
    <row r="26" ht="22" customHeight="1">
      <c r="A26" s="63" t="inlineStr">
        <is>
          <t>GIAI ĐOẠN 5 · NÂNG CẤP &amp; MỞ RỘNG — liên tục 2026–2030</t>
        </is>
      </c>
    </row>
    <row r="27" ht="34" customHeight="1">
      <c r="A27" s="92" t="n">
        <v>18</v>
      </c>
      <c r="B27" s="42" t="inlineStr">
        <is>
          <t>Đa dạng thị trường, tăng value-added, xây thương hiệu</t>
        </is>
      </c>
      <c r="C27" s="11" t="inlineStr">
        <is>
          <t>Giảm rủi ro tập trung, biên cao hơn</t>
        </is>
      </c>
      <c r="D27" s="11" t="inlineStr">
        <is>
          <t>Kế hoạch theo lộ trình</t>
        </is>
      </c>
      <c r="E27" s="59" t="inlineStr">
        <is>
          <t>Sheet 6</t>
        </is>
      </c>
      <c r="F27" s="93" t="inlineStr">
        <is>
          <t>2026–2030</t>
        </is>
      </c>
    </row>
    <row r="29" ht="40" customHeight="1">
      <c r="A29" s="67" t="inlineStr">
        <is>
          <t>⚠ Thời gian ước tính mang tính tham khảo cho doanh nghiệp lần đầu; chứng nhận GFSI (Bước 3) thường là khâu dài nhất — nên khởi động sớm song song với tìm khách. Trình tự có thể chồng lấn (ví dụ tìm khách &amp; hoàn thiện chứng nhận làm song song).</t>
        </is>
      </c>
    </row>
  </sheetData>
  <mergeCells count="9">
    <mergeCell ref="A2:F2"/>
    <mergeCell ref="A14:F14"/>
    <mergeCell ref="A1:F1"/>
    <mergeCell ref="A9:F9"/>
    <mergeCell ref="A22:F22"/>
    <mergeCell ref="A18:F18"/>
    <mergeCell ref="A4:F4"/>
    <mergeCell ref="A26:F26"/>
    <mergeCell ref="A29:F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2026-08-29T05:28:46Z</dcterms:created>
  <dcterms:modified xmlns:dcterms="http://purl.org/dc/terms/" xmlns:xsi="http://www.w3.org/2001/XMLSchema-instance" xsi:type="dcterms:W3CDTF">2026-08-29T09:51:10Z</dcterms:modified>
</cp:coreProperties>
</file>